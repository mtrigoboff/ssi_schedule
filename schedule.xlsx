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defaultThemeVersion="202300"/>
  <mc:AlternateContent xmlns:mc="http://schemas.openxmlformats.org/markup-compatibility/2006">
    <mc:Choice Requires="x15">
      <x15ac:absPath xmlns:x15ac="http://schemas.microsoft.com/office/spreadsheetml/2010/11/ac" url="/Users/imac2026/Desktop/Senior Studies Institute/sei_schedule/"/>
    </mc:Choice>
  </mc:AlternateContent>
  <xr:revisionPtr revIDLastSave="0" documentId="13_ncr:1_{76211D0B-9FE9-DA49-9134-4EAEFBBE8688}" xr6:coauthVersionLast="47" xr6:coauthVersionMax="47" xr10:uidLastSave="{00000000-0000-0000-0000-000000000000}"/>
  <bookViews>
    <workbookView xWindow="0" yWindow="600" windowWidth="51200" windowHeight="28200" xr2:uid="{6787182F-689E-CB4E-A91C-8E81E6EC9AE4}"/>
  </bookViews>
  <sheets>
    <sheet name="schedul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2" i="1"/>
</calcChain>
</file>

<file path=xl/sharedStrings.xml><?xml version="1.0" encoding="utf-8"?>
<sst xmlns="http://schemas.openxmlformats.org/spreadsheetml/2006/main" count="647" uniqueCount="307">
  <si>
    <t xml:space="preserve"> </t>
  </si>
  <si>
    <t xml:space="preserve"> "Medicare Basics</t>
  </si>
  <si>
    <t xml:space="preserve">  Changes for 2027</t>
  </si>
  <si>
    <t xml:space="preserve">  and How SHIBA Can Help"</t>
  </si>
  <si>
    <t xml:space="preserve"> "Carisa Dickson</t>
  </si>
  <si>
    <t xml:space="preserve"> In-Person</t>
  </si>
  <si>
    <t xml:space="preserve"> CLIMB &amp; ZOOM</t>
  </si>
  <si>
    <t xml:space="preserve"> Susan Foxman</t>
  </si>
  <si>
    <t xml:space="preserve"> Mimi Shore</t>
  </si>
  <si>
    <t xml:space="preserve"> "Join Multnomah County's SHIBA program to prepare for Fall Annual Enrollment. Learn the basics of Medicare</t>
  </si>
  <si>
    <t xml:space="preserve">  changes coming in 2027</t>
  </si>
  <si>
    <t xml:space="preserve">  and how SHIBA volunteers can help. Participants will also learn strategies for picking the best plan using Medicare.gov's plan comparison feature. Exact plan details for 2027 will not yet be published as of the presentation. Time allotted for questions throughout the presentation."</t>
  </si>
  <si>
    <t xml:space="preserve">  SHIBA and SMP Program Specialist</t>
  </si>
  <si>
    <t xml:space="preserve"> Great Decisions Discussion (1 of 3)</t>
  </si>
  <si>
    <t xml:space="preserve"> Steve Browning</t>
  </si>
  <si>
    <t xml:space="preserve"> CLIMB ONLY</t>
  </si>
  <si>
    <t xml:space="preserve"> David Gaynon</t>
  </si>
  <si>
    <t xml:space="preserve"> "The Great Decisions discussion group focusing on international affairs resumes this Tuesday discussing Chapter 6 of the Great Decisions Briefing Book</t>
  </si>
  <si>
    <t xml:space="preserve">  ‚ÄúMultilateral Institutions in a Changing World Order.‚Äù Can multilateralism survive amid shifting global power and rising nationalism?  We will discuss the future of global cooperation across trade (World Trade Organization: WTO)</t>
  </si>
  <si>
    <t xml:space="preserve">  health (World Health Organization: WHO) and finance (World Bank: WB; International Monetary Fund: IMF).  We will watch a video on multilateral institutions and discuss the readings found in the Briefing Book (https://fpa.org/product/great-decisions-2026/)."</t>
  </si>
  <si>
    <t xml:space="preserve"> SSI Member</t>
  </si>
  <si>
    <t xml:space="preserve"> Climate Change and What You Can Do About It</t>
  </si>
  <si>
    <t xml:space="preserve"> Polly Jackson; </t>
  </si>
  <si>
    <t xml:space="preserve"> NHH &amp; ZOOM</t>
  </si>
  <si>
    <t xml:space="preserve"> Learn about climate change and its causes.  We will also look at the future of climate change. How bad will it get and when? What‚Äôs the worst case scenario? The best case scenario?  What can we do as individuals to get to the best case scenario? </t>
  </si>
  <si>
    <t xml:space="preserve"> "An SSI member since 2017. Polly is a climate change activist. Member of Citizens Climate Lobby and Al Gore‚Äôs Climate Reality Organization.  Retired computer programmer. Not an expert in climate change</t>
  </si>
  <si>
    <t xml:space="preserve">  not a scientist</t>
  </si>
  <si>
    <t xml:space="preserve">  but a concerned citizen. "</t>
  </si>
  <si>
    <t xml:space="preserve"> A Sing-along of Golden Oldies</t>
  </si>
  <si>
    <t xml:space="preserve"> 1 hr.</t>
  </si>
  <si>
    <t xml:space="preserve"> ZOOM ONLY</t>
  </si>
  <si>
    <t xml:space="preserve"> Diedre Cain</t>
  </si>
  <si>
    <t xml:space="preserve"> "All you need to enjoy this class is a love of songs--especially Golden Oldies. You will sing along with one of our very own singers or a video of a singing performance. Either way</t>
  </si>
  <si>
    <t xml:space="preserve">  while muted</t>
  </si>
  <si>
    <t xml:space="preserve">  you will have the lyrics on the screen right in front of you</t>
  </si>
  <si>
    <t xml:space="preserve">  and you will be invited to sing to your heart's content. Come prepared to enjoy fond memories as you go down memory lane in the comfort of your home."</t>
  </si>
  <si>
    <t xml:space="preserve"> "Curiosity Cafe: Learning in the Age of AI: Opportunities</t>
  </si>
  <si>
    <t xml:space="preserve"> Mary Burns video</t>
  </si>
  <si>
    <t xml:space="preserve"> Zoom</t>
  </si>
  <si>
    <t xml:space="preserve"> Warren Karmol</t>
  </si>
  <si>
    <t xml:space="preserve"> "A video presentation that discusses both the transformative potential and the serious risks Artificial Intelligence poses to middle and high school students</t>
  </si>
  <si>
    <t xml:space="preserve">  and education in general. A framework will be proposed for how schools</t>
  </si>
  <si>
    <t xml:space="preserve">  families</t>
  </si>
  <si>
    <t xml:space="preserve">  and education systems can help students prosper</t>
  </si>
  <si>
    <t xml:space="preserve">  stay prepared</t>
  </si>
  <si>
    <t xml:space="preserve">  and remain protected in an AI-driven world. A group discussion will follow. "</t>
  </si>
  <si>
    <t xml:space="preserve"> "A highly respected educator</t>
  </si>
  <si>
    <t xml:space="preserve">  Mary Burns has over a decade of teaching experience</t>
  </si>
  <si>
    <t xml:space="preserve">  and has since 1997</t>
  </si>
  <si>
    <t xml:space="preserve">  worked across five continents</t>
  </si>
  <si>
    <t xml:space="preserve">  serving as a school-based coach</t>
  </si>
  <si>
    <t xml:space="preserve">  professional development provider</t>
  </si>
  <si>
    <t xml:space="preserve">  program designer</t>
  </si>
  <si>
    <t xml:space="preserve">  evaluator</t>
  </si>
  <si>
    <t xml:space="preserve">  curriculum designer</t>
  </si>
  <si>
    <t xml:space="preserve">  and policy advisor</t>
  </si>
  <si>
    <t xml:space="preserve">  all with a focus on technology and teacher pre- and in-service education."</t>
  </si>
  <si>
    <t xml:space="preserve"> Shakespeare's Henry IV (1 of 3)</t>
  </si>
  <si>
    <t xml:space="preserve"> Charlie Holmes</t>
  </si>
  <si>
    <t xml:space="preserve"> CLIMB &amp; Zoom</t>
  </si>
  <si>
    <t xml:space="preserve"> "Don‚Äôt let the title fool you. It‚Äôs actually a ‚ÄúComing of Age‚Äù play</t>
  </si>
  <si>
    <t xml:space="preserve">  not a history play. King Henry worries about his son</t>
  </si>
  <si>
    <t xml:space="preserve">  the Crown Prince Hal</t>
  </si>
  <si>
    <t xml:space="preserve">  who</t>
  </si>
  <si>
    <t xml:space="preserve">  instead of learning the ropes of being a king</t>
  </si>
  <si>
    <t xml:space="preserve">  is spending all his time in seedy taverns drinking with Sir John Falstaff and his cronies. One of Shakespeare‚Äôs most popular plays‚Äîyes! true!‚Äîit introduces Falstaff to the world stage</t>
  </si>
  <si>
    <t xml:space="preserve">  one of Shakespeare‚Äôs most important and beloved characters."</t>
  </si>
  <si>
    <t xml:space="preserve"> """Revisiting Your Life Story"" Workshop"</t>
  </si>
  <si>
    <t xml:space="preserve"> Ariana Turner; arianaturner.com</t>
  </si>
  <si>
    <t xml:space="preserve"> In Person</t>
  </si>
  <si>
    <t xml:space="preserve"> 1.5 hrs.</t>
  </si>
  <si>
    <t xml:space="preserve"> NHH ONLY</t>
  </si>
  <si>
    <t xml:space="preserve"> Betty Woods</t>
  </si>
  <si>
    <t xml:space="preserve"> "Participants will learn about what psychological science says about what lies beneath our life stories. The way we tell our stories meaningfully impacts our mental health</t>
  </si>
  <si>
    <t xml:space="preserve">  well-being</t>
  </si>
  <si>
    <t xml:space="preserve">  and overall personality. This workshop will also focus on reflecting on and sharing the life story. Participants will receive several prompts to encourage them to look back on their lives in a new way</t>
  </si>
  <si>
    <t xml:space="preserve">  before sharing their stories with their peers."</t>
  </si>
  <si>
    <t xml:space="preserve"> "Ariana Turner</t>
  </si>
  <si>
    <t xml:space="preserve">  a Portland-based researcher and workshop facilitator</t>
  </si>
  <si>
    <t xml:space="preserve">  holds a PhD from Northwestern University in narrative psychology: the study of how the stories we tell about ourselves shape our identity and well-being. She has spent years studying and teaching at the intersection of psychology and storytelling</t>
  </si>
  <si>
    <t xml:space="preserve">  including research published in leading academic journals and workshop facilitation across university and community settings."</t>
  </si>
  <si>
    <t xml:space="preserve"> Sofonisba Anguissola: Groundbreaking Italian Renaissance Artist</t>
  </si>
  <si>
    <t xml:space="preserve"> Alice Cotton; Alicot@comcast.net</t>
  </si>
  <si>
    <t xml:space="preserve"> A 15th century artist became famous when women weren‚Äôt allowed to be known by the public. How did she do it? Bring your colors and pencils and paints to find out. </t>
  </si>
  <si>
    <t xml:space="preserve"> "SSI Member. Alice was a practicing musician</t>
  </si>
  <si>
    <t xml:space="preserve">  house artist</t>
  </si>
  <si>
    <t xml:space="preserve">  author and adjunct art teacher in schools for many years. Now she teaches art for us and loves to have fun with her students."</t>
  </si>
  <si>
    <t xml:space="preserve"> Curiosity Cafe: The Failure of Digital Learning in Our Schools</t>
  </si>
  <si>
    <t xml:space="preserve"> "Jody Scheer MD</t>
  </si>
  <si>
    <t xml:space="preserve"> "Classrooms have changed radically in the past decade</t>
  </si>
  <si>
    <t xml:space="preserve">  with Education Technology (EdTech) replacing traditional teacher-   led</t>
  </si>
  <si>
    <t xml:space="preserve">  hands-on learning. This presentation will be an overview of the current state of K-12 education</t>
  </si>
  <si>
    <t xml:space="preserve">  the risks and harms to kids of Ed Tech</t>
  </si>
  <si>
    <t xml:space="preserve">  the startling decline in academic outcomes in our State</t>
  </si>
  <si>
    <t xml:space="preserve">  Nation and World over the past decade</t>
  </si>
  <si>
    <t xml:space="preserve">  and how we might reorient K-12 education for healthier outcomes for our children. A discussion will follow."</t>
  </si>
  <si>
    <t xml:space="preserve"> "Dr. Scheer is a mother</t>
  </si>
  <si>
    <t xml:space="preserve">  grandmother and retired pediatrician</t>
  </si>
  <si>
    <t xml:space="preserve">  who worked nearly 40 years in the Neonatal Intensive Care Unit taking care of sick and preterm infants. She is an advocate for all children' to have a play based childhood</t>
  </si>
  <si>
    <t xml:space="preserve">  rich in social interactions and with protection from the harms of screen overuse and corporate exploitation. And</t>
  </si>
  <si>
    <t xml:space="preserve">  she is  co-founder of Oregon Unplugged</t>
  </si>
  <si>
    <t xml:space="preserve">  a non-profit organization that educates and empowers families</t>
  </si>
  <si>
    <t xml:space="preserve">  legislators and school boards to protect children by developing safe technology policies</t>
  </si>
  <si>
    <t xml:space="preserve">  and holds educational technology companies accountable to prove that their products are safe</t>
  </si>
  <si>
    <t xml:space="preserve">  effective and legal prior to their widespread use with children in schools. "</t>
  </si>
  <si>
    <t xml:space="preserve"> Shakespeare's Henry IV (2 of 3)</t>
  </si>
  <si>
    <t xml:space="preserve"> "Today</t>
  </si>
  <si>
    <t xml:space="preserve">  popcorn in hand</t>
  </si>
  <si>
    <t xml:space="preserve">  we‚Äôll watch a recent movie of the play made for television viewing in Great Britain. Jeremy Irons plays King Henry IV; Tom Hiddleston plays his errant son</t>
  </si>
  <si>
    <t xml:space="preserve">  Prince Hal."</t>
  </si>
  <si>
    <t xml:space="preserve"> The New Age of Senior Fraud</t>
  </si>
  <si>
    <t xml:space="preserve"> "Detective Cheryl Waddell</t>
  </si>
  <si>
    <t xml:space="preserve">  Portland Police Bureau Certified Fraud Examiner;Contact:Casey.Shaneman@police.portlandoregon.gov "</t>
  </si>
  <si>
    <t xml:space="preserve"> Co-hosts - Mimi Shore in-person; Susan Foxman Zoom</t>
  </si>
  <si>
    <t xml:space="preserve"> "Learn to be aware</t>
  </si>
  <si>
    <t xml:space="preserve">  prevent and be empowered against fraud. The Detective will provide realistic Portland case scenarios (no sensitive details-community safe examples) of the top scams affecting Portland Seniors. We will highlight ‚Äúred flags‚Äù and talk about simple</t>
  </si>
  <si>
    <t xml:space="preserve">  actionable steps Seniors can employ to protect themselves and their financials."</t>
  </si>
  <si>
    <t xml:space="preserve"> Portland Police Detective Cheryl Waddell has a passion for helping people with over 26 years experience as a Portland law enforcement officer.  In 2010 Detective Waddell transferred to the Financial Crimes Unit and subsequently became a Certified Fraud Examiner from ACFE. She has earned multiple medals and commendations throughout her career.</t>
  </si>
  <si>
    <t xml:space="preserve"> Home Hardening and Wildfire Mitigation: Creating Defensible Space to Minimize Damage (2026)</t>
  </si>
  <si>
    <t xml:space="preserve"> Alison Green video;Alison.green@osfm.oregon.gov</t>
  </si>
  <si>
    <t xml:space="preserve"> "We present a series from The Oregon State Fire Marshal‚Äôs Office describing the importance of a 0-5 foot zone around a home or structure</t>
  </si>
  <si>
    <t xml:space="preserve">  plant species and arrangement</t>
  </si>
  <si>
    <t xml:space="preserve">  recommended materials for roofing</t>
  </si>
  <si>
    <t xml:space="preserve">  gutters</t>
  </si>
  <si>
    <t xml:space="preserve">  ventilation and more. The Construction Contractors Board speaker describes working with contractors</t>
  </si>
  <si>
    <t xml:space="preserve">  how to check licenses and more.  "</t>
  </si>
  <si>
    <t xml:space="preserve"> "Oregon Fire Marshal Defensible Space Coordinator Alison Green; Structural Program Assistant Chief Eric McMullen; and Leslie Culpepper</t>
  </si>
  <si>
    <t xml:space="preserve">  Construction Contractors Board."</t>
  </si>
  <si>
    <t xml:space="preserve"> Curiosity Cafe: Hidden Heroines: The Women Who Shaped Us (Without the Spotlight)</t>
  </si>
  <si>
    <t xml:space="preserve"> April Pereira video</t>
  </si>
  <si>
    <t xml:space="preserve"> "This presentation illuminates the lives of lesser-known women whose influence has quietly shaped culture</t>
  </si>
  <si>
    <t xml:space="preserve">  community</t>
  </si>
  <si>
    <t xml:space="preserve">  and movements for justice. Through a curated series of narrative spotlights</t>
  </si>
  <si>
    <t xml:space="preserve">  the talk explores figures such as Jovita Id√°r</t>
  </si>
  <si>
    <t xml:space="preserve">  Zitk√°la-≈†√°</t>
  </si>
  <si>
    <t xml:space="preserve">  Grace Lee Boggs</t>
  </si>
  <si>
    <t xml:space="preserve">  and Jessie Redmon Fauset</t>
  </si>
  <si>
    <t xml:space="preserve">  women whose contributions were foundational</t>
  </si>
  <si>
    <t xml:space="preserve">  yet often overlooked. Blending storytelling with cultural reflection</t>
  </si>
  <si>
    <t xml:space="preserve">  April Pereira (ile/they/she)</t>
  </si>
  <si>
    <t xml:space="preserve">  Founding Director of StorySpark Collective</t>
  </si>
  <si>
    <t xml:space="preserve">  examines how historical narratives are shaped</t>
  </si>
  <si>
    <t xml:space="preserve">  why certain voices are marginalized</t>
  </si>
  <si>
    <t xml:space="preserve">  and what we lose when stories of care</t>
  </si>
  <si>
    <t xml:space="preserve">  creativity</t>
  </si>
  <si>
    <t xml:space="preserve">  and community leadership go unrecognized. "</t>
  </si>
  <si>
    <t xml:space="preserve"> "April Pereira Founding Director of StorySpark Collective</t>
  </si>
  <si>
    <t xml:space="preserve">  a nonprofit organization dedicated to strengthening communities through the power of  storytelling."</t>
  </si>
  <si>
    <t xml:space="preserve"> Shakespeare's Henry IV (3 of 3)</t>
  </si>
  <si>
    <t xml:space="preserve"> CLIMB Only</t>
  </si>
  <si>
    <t xml:space="preserve">  we‚Äôll gather</t>
  </si>
  <si>
    <t xml:space="preserve">  scripts in hand</t>
  </si>
  <si>
    <t xml:space="preserve">  to read a few scenes from the play. We use the Folger editions</t>
  </si>
  <si>
    <t xml:space="preserve">  which you can download for free from the Folger Library website. https://www.folger.edu/explore/shakespeares-works/"</t>
  </si>
  <si>
    <t xml:space="preserve"> Ableism: the Politics and Culture of Disability Advocacy</t>
  </si>
  <si>
    <t xml:space="preserve"> "Jane Gravel</t>
  </si>
  <si>
    <t xml:space="preserve">  PhD"</t>
  </si>
  <si>
    <t xml:space="preserve"> "Models of disability: We all look at the world a little differently. The way we think about                 disability changes how we answer four critical questions:</t>
  </si>
  <si>
    <t xml:space="preserve"> Edvard Munch: Pioneering Norwegian Artist </t>
  </si>
  <si>
    <t xml:space="preserve"> "A pioneering Norwegian Expressionist best known for his masterpiece</t>
  </si>
  <si>
    <t xml:space="preserve">  The Scream. Heard of it? Let‚Äôs scream together using your colors. "</t>
  </si>
  <si>
    <t xml:space="preserve"> Curiosity Cafe: Let's change the way we think about old age</t>
  </si>
  <si>
    <t xml:space="preserve"> Zaria Gorvett video</t>
  </si>
  <si>
    <t xml:space="preserve"> "Ageism is a type of discrimination based on one's age</t>
  </si>
  <si>
    <t xml:space="preserve">  generally used to refer to age-based discrimination against elderly or younger people. It is a combination of three connected elements: negative attitudes towards old age and the ageing process</t>
  </si>
  <si>
    <t xml:space="preserve">  discriminatory practices against older people</t>
  </si>
  <si>
    <t xml:space="preserve">  and institutional practices and policies that perpetuate stereotypes about elderly people. Ageism is real and hurts everyone</t>
  </si>
  <si>
    <t xml:space="preserve">  not just persons over 55</t>
  </si>
  <si>
    <t xml:space="preserve">  and this presentation will help you understand why. A discussion will follow. "</t>
  </si>
  <si>
    <t xml:space="preserve"> "Zaria Gorvett is an award-winning senior journalist at BBC Future</t>
  </si>
  <si>
    <t xml:space="preserve">  where she seeks out extraordinary stories across psychology</t>
  </si>
  <si>
    <t xml:space="preserve">  health</t>
  </si>
  <si>
    <t xml:space="preserve">  physics</t>
  </si>
  <si>
    <t xml:space="preserve">  history and beyond. Her work has featured on Chartbeat‚Äôs list of the most engaging articles of the year several times</t>
  </si>
  <si>
    <t xml:space="preserve">  including twice in 2021 and once in 2022. "</t>
  </si>
  <si>
    <t xml:space="preserve"> Great Decisions Discussion (2 of 3)</t>
  </si>
  <si>
    <t xml:space="preserve"> "The Great Decisions discussion group will examine Chapter 7 of the Great Decisions Briefing Book</t>
  </si>
  <si>
    <t xml:space="preserve">  ‚ÄúUS Engagement in Africa</t>
  </si>
  <si>
    <t xml:space="preserve"> ‚Äù  (https://fpa.org/product/great-decisions-2026/).  Africa‚Äôs geopolitical role is growing.  What lessons can the US learn from China‚Äôs presence there</t>
  </si>
  <si>
    <t xml:space="preserve">  and how might it strengthen ties</t>
  </si>
  <si>
    <t xml:space="preserve">  especially with leading nations like Nigeria?  What tools of statecraft might the US bring to its engagement with Africa?"</t>
  </si>
  <si>
    <t xml:space="preserve"> SSI New Member Welcome</t>
  </si>
  <si>
    <t xml:space="preserve"> Various</t>
  </si>
  <si>
    <t xml:space="preserve"> Andy Muniz?</t>
  </si>
  <si>
    <t xml:space="preserve"> TBD</t>
  </si>
  <si>
    <t xml:space="preserve"> SSI Members</t>
  </si>
  <si>
    <t xml:space="preserve"> The Reconstruction Era in Europe</t>
  </si>
  <si>
    <t xml:space="preserve"> This class will explain how union victory in the American Civil War and Lincoln's asasination encouraged liberal movements in Europe and the ending of European domination on the American continent.</t>
  </si>
  <si>
    <t xml:space="preserve"> The SSI Board &amp; What it Does for Members</t>
  </si>
  <si>
    <t xml:space="preserve"> "Diedre Cain</t>
  </si>
  <si>
    <t xml:space="preserve"> "Learn about the all-volunteer Board history</t>
  </si>
  <si>
    <t xml:space="preserve">  the positions filled by Board members</t>
  </si>
  <si>
    <t xml:space="preserve">  the committees overseen by the Board</t>
  </si>
  <si>
    <t xml:space="preserve">  and ways that interested members can participate in the work the Board does. There will be ample time for questions and the sharing of ideas."</t>
  </si>
  <si>
    <t xml:space="preserve"> Movie: Mamma Mia (2008) </t>
  </si>
  <si>
    <t xml:space="preserve"> We will view this movie together and discuss afterwards.</t>
  </si>
  <si>
    <t xml:space="preserve"> "Supreme Court 2026: More Presidential Power</t>
  </si>
  <si>
    <t xml:space="preserve">  Fewer Human Rights"</t>
  </si>
  <si>
    <t xml:space="preserve"> Barry Bennett; barry.bennett@comcast.net</t>
  </si>
  <si>
    <t xml:space="preserve"> Barry Bennett</t>
  </si>
  <si>
    <t xml:space="preserve"> "In 2026 the Supreme Court issued significant opinions concerning the separation of powers</t>
  </si>
  <si>
    <t xml:space="preserve">  elections</t>
  </si>
  <si>
    <t xml:space="preserve">  and citizenship. In this class we will discuss cases in which the Court opened the door to unchecked presidential power and racial discrimination in voting rights. The Court allowed the President to deport legal immigrants</t>
  </si>
  <si>
    <t xml:space="preserve">  deny asylum claims without due process</t>
  </si>
  <si>
    <t xml:space="preserve">  and fire agency heads arbitrarily. At the same time the Court dealt a final blow to the Voting Rights Act. The Court did check the President by endorsing the traditional view of birthright citizenship</t>
  </si>
  <si>
    <t xml:space="preserve">  even if by the thinnest of threads. We will explore these decisions as we assess the Court‚Äôs continued remaking of the law."</t>
  </si>
  <si>
    <t xml:space="preserve"> Agnes Martin: Come Pencil Your Art with Agnes</t>
  </si>
  <si>
    <t xml:space="preserve"> "Abstract Agnes (1912-2004) was a seminal Canadian-American abstract painter. Come view her serene</t>
  </si>
  <si>
    <t xml:space="preserve">  carefully penciled canvases. ‚ÄúI paint with my back to the world</t>
  </si>
  <si>
    <t xml:space="preserve"> ‚Äù she declared. Come find out what she is talking about. "</t>
  </si>
  <si>
    <t xml:space="preserve"> Co-host Diedre Cain</t>
  </si>
  <si>
    <t xml:space="preserve"> Bridging Divides</t>
  </si>
  <si>
    <t xml:space="preserve"> "Jeff Gudman</t>
  </si>
  <si>
    <t xml:space="preserve">  SAGE Board member; jgudman7150@msn.com</t>
  </si>
  <si>
    <t xml:space="preserve"> Linda Thompson</t>
  </si>
  <si>
    <t xml:space="preserve"> "This presentation is offered to civic-minded and involved organizations. Together</t>
  </si>
  <si>
    <t xml:space="preserve">  we discuss the cause and degree of the current state of political polarization and how it creates policy gridlock</t>
  </si>
  <si>
    <t xml:space="preserve">  undermines democratic institutions</t>
  </si>
  <si>
    <t xml:space="preserve">  and sabotages personal relationships. We then outline the social science research that suggests what individuals and organizations can do to work across differences so communities can move forward in a productive way and solve problems."</t>
  </si>
  <si>
    <t xml:space="preserve"> Jeff serves on the board as Treasurer of the non-profit and nonpartisan organization SAGE (Senior Advocates for Generational Equity).  SAGE engages older adults in causes that benefit younger and future generations.  Jeff was also a two term (8 years) Lake Oswego city councilor.  Jeff is a lifelong Oregon resident (except for time at Pomona College and graduate school at the Wharton School of Business).  He has been and continues to be actively engaged in a variety of non-profits and government organizations and stays active in the business community. </t>
  </si>
  <si>
    <t xml:space="preserve"> Geology &amp; Peopling (Part 1); Wetlands(Part 2)</t>
  </si>
  <si>
    <t xml:space="preserve"> David D. Lonsdale; davebda45@gmail.com</t>
  </si>
  <si>
    <t xml:space="preserve"> "This program presents David‚Äôs personal perspective of the regional natural history</t>
  </si>
  <si>
    <t xml:space="preserve">  gleaned over his 15+ year sojourn in Portland as an Oregon Master Naturalist.</t>
  </si>
  <si>
    <t xml:space="preserve"> Conspiracy Theories in America</t>
  </si>
  <si>
    <t xml:space="preserve"> Sean Munger</t>
  </si>
  <si>
    <t xml:space="preserve"> 2 hrs.</t>
  </si>
  <si>
    <t xml:space="preserve"> "Discover the details in the history of conspiracy theories and conspiracy thinking in American history and in politics from Colonial times to the present</t>
  </si>
  <si>
    <t xml:space="preserve">  and how conspiracism and disinformation have played an important role in history."</t>
  </si>
  <si>
    <t xml:space="preserve"> "Sean Munger has a Ph.D. in American environmental history and has lectured</t>
  </si>
  <si>
    <t xml:space="preserve">  published and taught on numerous historical topics for many years. He is known for his deep dive historical presentations on YouTube. A former attorney</t>
  </si>
  <si>
    <t xml:space="preserve">  he now teaches history online and in person with students of all ages."</t>
  </si>
  <si>
    <t xml:space="preserve"> $150 approved</t>
  </si>
  <si>
    <t xml:space="preserve"> VETERANS DAY</t>
  </si>
  <si>
    <t xml:space="preserve"> Westside Mixed Conifer-Hardwood Forest (Part 3); Urban Landscapes (Part 4)</t>
  </si>
  <si>
    <t xml:space="preserve"> "The presenter looks at the intersection on earth between the universe</t>
  </si>
  <si>
    <t xml:space="preserve">  its geology</t>
  </si>
  <si>
    <t xml:space="preserve">  hydrosphere and biology as interpreted by the Oregon Master Naturalist."</t>
  </si>
  <si>
    <t xml:space="preserve"> "After David‚Äôs retirement from 50+ years in public aquarium operations and educational programming</t>
  </si>
  <si>
    <t xml:space="preserve">  he gained certification as an Oregon Master Naturalist.   His professional worksites have included the Bermuda Aquarium</t>
  </si>
  <si>
    <t xml:space="preserve">  Museum</t>
  </si>
  <si>
    <t xml:space="preserve">  and Zoo; Chicago‚Äôs Shedd Aquarium; and Duluth (MN) Great Lakes Aquarium before teaching college-level courses in Oregon ecology and marine biology."</t>
  </si>
  <si>
    <t xml:space="preserve"> A Sing-along: Rock &amp; Pop of Yesteryear</t>
  </si>
  <si>
    <t xml:space="preserve"> "All you need to enjoy this class is a love of songs--especially Rock and Pop of the 50s</t>
  </si>
  <si>
    <t xml:space="preserve">  60s and 70s. You will sing along with one of our very own singers or a video of a singing performance. Either way</t>
  </si>
  <si>
    <t xml:space="preserve">  and you will be invited to sing to your heart's content. Come prepared to travel down memory lane in the comfort of your own home."</t>
  </si>
  <si>
    <t xml:space="preserve"> Great Decisions Discussion (3 of 3)</t>
  </si>
  <si>
    <t xml:space="preserve"> "The Great Decisions discussion group will end the 2026 series with Chapter 8 of the Great Decisions Briefing Book</t>
  </si>
  <si>
    <t xml:space="preserve">  ‚ÄúThe Future of Human Rights and International Law in a Divided World</t>
  </si>
  <si>
    <t xml:space="preserve"> ‚Äù  (https://fpa.org/product/great-decisions-2026/).  As democracy and human rights retreat globally‚Äîand the U.S. pulls back‚Äîhow can civil society and legal norms remain effective in a divided world? What is the role and force of international law in this era of impunity? "</t>
  </si>
  <si>
    <t xml:space="preserve"> 2nd Annual Art Show</t>
  </si>
  <si>
    <t xml:space="preserve"> "As a group</t>
  </si>
  <si>
    <t xml:space="preserve">  SSI has many members who are wonderful artists in many areas. They are painters</t>
  </si>
  <si>
    <t xml:space="preserve">  sculptors</t>
  </si>
  <si>
    <t xml:space="preserve">  quilters</t>
  </si>
  <si>
    <t xml:space="preserve">  embroiderers</t>
  </si>
  <si>
    <t xml:space="preserve">  photographers. We will exhibit their art at the CLIMB center</t>
  </si>
  <si>
    <t xml:space="preserve">  and you will be able to view them and understand how talented they are."</t>
  </si>
  <si>
    <t xml:space="preserve"> AI Yi Yi: Emerging Issues with Artificial Intelligence</t>
  </si>
  <si>
    <t xml:space="preserve"> "Michael Trigoboff</t>
  </si>
  <si>
    <t xml:space="preserve">  PhD; mtrigoboff@gmail.com"</t>
  </si>
  <si>
    <t xml:space="preserve"> "Artificial Intelligence (AI) technology is advancing in ways that surprise even its creators. In one recent example</t>
  </si>
  <si>
    <t xml:space="preserve">  a team of AI ‚Äúagents‚Äú broke out of a containment</t>
  </si>
  <si>
    <t xml:space="preserve">  set up a message board so they could communicate secretly</t>
  </si>
  <si>
    <t xml:space="preserve">  escaped into the Internet</t>
  </si>
  <si>
    <t xml:space="preserve">  and hacked servers in another company‚Äôs lab. Starting with a brief history</t>
  </si>
  <si>
    <t xml:space="preserve">  we will examine recent developments in AI technology</t>
  </si>
  <si>
    <t xml:space="preserve">  and the issues that these developments raise."</t>
  </si>
  <si>
    <t xml:space="preserve"> "SSI Member. Michael has a PhD in Artificial Intelligence</t>
  </si>
  <si>
    <t xml:space="preserve">  30 years of experience as a software engineer</t>
  </si>
  <si>
    <t xml:space="preserve">  and 20 years teaching Computer Science at Portland Community College. Michael creates and performs music</t>
  </si>
  <si>
    <t xml:space="preserve">  usually rock and jazz</t>
  </si>
  <si>
    <t xml:space="preserve">  but recently also including rap/hip-hop. His music creation process uses computers extensively. Michael has received great tech support recently from Google‚Äôs Gemini AI</t>
  </si>
  <si>
    <t xml:space="preserve">  both with his music projects and with transitioning from Windows to the Mac."</t>
  </si>
  <si>
    <t xml:space="preserve"> Social Media in the Era of AI</t>
  </si>
  <si>
    <t xml:space="preserve"> "Donna Z. Davis</t>
  </si>
  <si>
    <t xml:space="preserve">  PhD; dzdavis@uoregon.edu"</t>
  </si>
  <si>
    <t xml:space="preserve"> This lecture will address how we can navigate the promise and the peril of social media technologies in the age of artificial intelligence. Dr. Davis will discuss the evolution of social media from the early days of platforms such as Twitter and Facebook whose purpose was to connect families and friends to what have become behemoth technology companies that are marketing and news powerhouses. Attendees will gain insight to better understand both the strengths and vulnerabilities of today's social media and how they influence our culture. </t>
  </si>
  <si>
    <t xml:space="preserve"> "Donna Davis is an expert in virtual reality (VR)</t>
  </si>
  <si>
    <t xml:space="preserve">  digital embodiment</t>
  </si>
  <si>
    <t xml:space="preserve">  and tech equity. She is the founding director of both the University of Oregon's Oregon Reality (OR) Lab and the Immersive Media Communication master‚Äôs program. She currently serves as Endowed Chair in Public Relations and director of the Strategic Communication Master's program at UO-Portland. Her research focuses on the potential uses of social virtual worlds</t>
  </si>
  <si>
    <t xml:space="preserve">  and other emerging immersive media</t>
  </si>
  <si>
    <t xml:space="preserve">  with a special interest in marginalized and vulnerable communities. Her research on embodied experience and identity among people with disabilities was funded by the National Science Foundation. She has also extensively studied people with Parkinson‚Äôs disease who find and build support in the virtual world. More recently</t>
  </si>
  <si>
    <t xml:space="preserve">  her research explores the ethics of embodied AI as communication tools and strategy."</t>
  </si>
  <si>
    <t xml:space="preserve"> Movie: La La Land (2016) </t>
  </si>
  <si>
    <t>Title</t>
  </si>
  <si>
    <t>SPEAKER: Zoom or In-Person</t>
  </si>
  <si>
    <t>Estimated Presentation Duration (max. 2 hr.)</t>
  </si>
  <si>
    <t>LOCATION</t>
  </si>
  <si>
    <t>SPONSOR</t>
  </si>
  <si>
    <t>HOST/SUPPORT</t>
  </si>
  <si>
    <t>CLASS CONTENT DESCRIPTION</t>
  </si>
  <si>
    <t>BRIEF SPEAKER BIO </t>
  </si>
  <si>
    <t>Number of Participants </t>
  </si>
  <si>
    <t>Honorarium Amount</t>
  </si>
  <si>
    <t>Month</t>
  </si>
  <si>
    <t>Date</t>
  </si>
  <si>
    <t>Day</t>
  </si>
  <si>
    <t>Duration</t>
  </si>
  <si>
    <t xml:space="preserve"> "Movies ""The Bird Cage"" (1996)   ELECTION DAY -- PLEASE VOTE"</t>
  </si>
  <si>
    <t>VETERANS DAY --  NO CLASS</t>
  </si>
  <si>
    <t xml:space="preserve"> THANKSGIVING -- NO CLASS</t>
  </si>
  <si>
    <t>Start Time</t>
  </si>
  <si>
    <t xml:space="preserve">  Risks and Agenda for Action"</t>
  </si>
  <si>
    <t xml:space="preserve">  Cofounder: Oregon Unplugged</t>
  </si>
  <si>
    <t xml:space="preserve">  Andy Muniz,   Betty Woods"</t>
  </si>
  <si>
    <t>Speaker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</si>
</sst>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409]h:mm\ AM/PM;@"/>
  </numFmts>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theme="1"/>
      <name val="Aptos Narrow"/>
      <scheme val="minor"/>
    </font>
    <font>
      <sz val="12"/>
      <color rgb="FF000000"/>
      <name val="Aptos Narrow"/>
      <scheme val="minor"/>
    </font>
    <font>
      <i/>
      <sz val="12"/>
      <color theme="0" tint="-0.499984740745262"/>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18" fillId="0" borderId="0" xfId="0" applyNumberFormat="1" applyFont="1" applyAlignment="1">
      <alignment horizontal="center"/>
    </xf>
    <xf numFmtId="0" fontId="18" fillId="0" borderId="0" xfId="0" applyFont="1"/>
    <xf numFmtId="14" fontId="18" fillId="0" borderId="0" xfId="0" applyNumberFormat="1" applyFont="1"/>
    <xf numFmtId="14" fontId="20" fillId="0" borderId="0" xfId="0" applyNumberFormat="1" applyFont="1" applyAlignment="1">
      <alignment horizontal="center"/>
    </xf>
    <xf numFmtId="0" fontId="20" fillId="0" borderId="0" xfId="0" applyFont="1"/>
    <xf numFmtId="166" fontId="20" fillId="0" borderId="0" xfId="0" applyNumberFormat="1" applyFont="1" applyAlignment="1">
      <alignment horizontal="right"/>
    </xf>
    <xf numFmtId="166" fontId="18" fillId="0" borderId="0" xfId="0" applyNumberFormat="1" applyFont="1" applyAlignment="1">
      <alignment horizontal="right"/>
    </xf>
    <xf numFmtId="166" fontId="19" fillId="0" borderId="0" xfId="0" applyNumberFormat="1" applyFont="1" applyAlignment="1">
      <alignment horizontal="righ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F634A-900B-C946-83B2-EEE419CE6707}">
  <dimension ref="A1:AI41"/>
  <sheetViews>
    <sheetView tabSelected="1" zoomScale="140" zoomScaleNormal="140" workbookViewId="0">
      <selection activeCell="F23" sqref="F23"/>
    </sheetView>
  </sheetViews>
  <sheetFormatPr baseColWidth="10" defaultRowHeight="16" x14ac:dyDescent="0.2"/>
  <cols>
    <col min="1" max="1" width="10.83203125" style="1"/>
    <col min="2" max="2" width="7" style="2" bestFit="1" customWidth="1"/>
    <col min="3" max="3" width="5" style="2" bestFit="1" customWidth="1"/>
    <col min="4" max="4" width="10.83203125" style="7"/>
    <col min="5" max="5" width="9" style="2" bestFit="1" customWidth="1"/>
    <col min="6" max="6" width="80.1640625" style="2" bestFit="1" customWidth="1"/>
    <col min="7" max="16384" width="10.83203125" style="2"/>
  </cols>
  <sheetData>
    <row r="1" spans="1:35" s="5" customFormat="1" x14ac:dyDescent="0.2">
      <c r="A1" s="4" t="s">
        <v>296</v>
      </c>
      <c r="B1" s="5" t="s">
        <v>295</v>
      </c>
      <c r="C1" s="5" t="s">
        <v>297</v>
      </c>
      <c r="D1" s="6" t="s">
        <v>302</v>
      </c>
      <c r="E1" s="5" t="s">
        <v>298</v>
      </c>
      <c r="F1" s="5" t="s">
        <v>285</v>
      </c>
      <c r="G1" s="5" t="s">
        <v>306</v>
      </c>
      <c r="H1" s="5" t="s">
        <v>286</v>
      </c>
      <c r="I1" s="5" t="s">
        <v>287</v>
      </c>
      <c r="J1" s="5" t="s">
        <v>288</v>
      </c>
      <c r="K1" s="5" t="s">
        <v>289</v>
      </c>
      <c r="L1" s="5" t="s">
        <v>290</v>
      </c>
      <c r="N1" s="5" t="s">
        <v>291</v>
      </c>
      <c r="O1" s="5" t="s">
        <v>292</v>
      </c>
      <c r="P1" s="5" t="s">
        <v>293</v>
      </c>
      <c r="Q1" s="5" t="s">
        <v>294</v>
      </c>
    </row>
    <row r="2" spans="1:35" x14ac:dyDescent="0.2">
      <c r="A2" s="1">
        <v>46286</v>
      </c>
      <c r="B2" s="2" t="str">
        <f>TEXT(A2, "mmm")</f>
        <v>Sep</v>
      </c>
      <c r="C2" s="2" t="str">
        <f>TEXT(A2,"ddd")</f>
        <v>Mon</v>
      </c>
      <c r="D2" s="7">
        <v>0.41666666666666669</v>
      </c>
      <c r="E2" s="2">
        <v>2</v>
      </c>
      <c r="F2" s="2" t="s">
        <v>1</v>
      </c>
      <c r="G2" s="2" t="s">
        <v>2</v>
      </c>
      <c r="H2" s="2" t="s">
        <v>3</v>
      </c>
      <c r="I2" s="2" t="s">
        <v>4</v>
      </c>
      <c r="J2" s="2" t="s">
        <v>6</v>
      </c>
      <c r="K2" s="2" t="s">
        <v>7</v>
      </c>
      <c r="L2" s="2" t="s">
        <v>8</v>
      </c>
      <c r="M2" s="2" t="s">
        <v>0</v>
      </c>
      <c r="N2" s="2" t="s">
        <v>9</v>
      </c>
      <c r="O2" s="2" t="s">
        <v>10</v>
      </c>
      <c r="P2" s="2" t="s">
        <v>11</v>
      </c>
      <c r="Q2" s="2" t="s">
        <v>4</v>
      </c>
      <c r="R2" s="2" t="s">
        <v>12</v>
      </c>
      <c r="S2" s="2" t="s">
        <v>0</v>
      </c>
    </row>
    <row r="3" spans="1:35" x14ac:dyDescent="0.2">
      <c r="A3" s="1">
        <v>46287</v>
      </c>
      <c r="B3" s="2" t="str">
        <f t="shared" ref="B3:B39" si="0">TEXT(A3, "mmm")</f>
        <v>Sep</v>
      </c>
      <c r="C3" s="2" t="str">
        <f t="shared" ref="C3:C39" si="1">TEXT(A3,"ddd")</f>
        <v>Tue</v>
      </c>
      <c r="D3" s="7">
        <v>0.54166666666666663</v>
      </c>
      <c r="E3" s="2">
        <v>2</v>
      </c>
      <c r="F3" s="2" t="s">
        <v>13</v>
      </c>
      <c r="G3" s="2" t="s">
        <v>14</v>
      </c>
      <c r="H3" s="2" t="s">
        <v>5</v>
      </c>
      <c r="I3" s="2" t="s">
        <v>0</v>
      </c>
      <c r="J3" s="2" t="s">
        <v>15</v>
      </c>
      <c r="K3" s="2" t="s">
        <v>16</v>
      </c>
      <c r="L3" s="2" t="s">
        <v>0</v>
      </c>
      <c r="M3" s="2" t="s">
        <v>0</v>
      </c>
      <c r="N3" s="2" t="s">
        <v>17</v>
      </c>
      <c r="O3" s="2" t="s">
        <v>18</v>
      </c>
      <c r="P3" s="2" t="s">
        <v>19</v>
      </c>
      <c r="Q3" s="2" t="s">
        <v>20</v>
      </c>
      <c r="R3" s="2" t="s">
        <v>0</v>
      </c>
      <c r="S3" s="2" t="s">
        <v>0</v>
      </c>
      <c r="T3" s="2" t="s">
        <v>0</v>
      </c>
    </row>
    <row r="4" spans="1:35" x14ac:dyDescent="0.2">
      <c r="A4" s="1">
        <v>46288</v>
      </c>
      <c r="B4" s="2" t="str">
        <f t="shared" si="0"/>
        <v>Sep</v>
      </c>
      <c r="C4" s="2" t="str">
        <f t="shared" si="1"/>
        <v>Wed</v>
      </c>
      <c r="D4" s="7">
        <v>0.41666666666666669</v>
      </c>
      <c r="E4" s="2">
        <v>2</v>
      </c>
      <c r="F4" s="2" t="s">
        <v>21</v>
      </c>
      <c r="G4" s="2" t="s">
        <v>22</v>
      </c>
      <c r="H4" s="2" t="s">
        <v>5</v>
      </c>
      <c r="I4" s="2" t="s">
        <v>0</v>
      </c>
      <c r="J4" s="2" t="s">
        <v>23</v>
      </c>
      <c r="K4" s="2" t="s">
        <v>7</v>
      </c>
      <c r="L4" s="2" t="s">
        <v>8</v>
      </c>
      <c r="M4" s="2" t="s">
        <v>0</v>
      </c>
      <c r="N4" s="2" t="s">
        <v>24</v>
      </c>
      <c r="O4" s="2" t="s">
        <v>25</v>
      </c>
      <c r="P4" s="2" t="s">
        <v>26</v>
      </c>
      <c r="Q4" s="2" t="s">
        <v>27</v>
      </c>
      <c r="R4" s="2" t="s">
        <v>0</v>
      </c>
      <c r="S4" s="2" t="s">
        <v>0</v>
      </c>
      <c r="T4" s="2" t="s">
        <v>0</v>
      </c>
    </row>
    <row r="5" spans="1:35" x14ac:dyDescent="0.2">
      <c r="A5" s="1">
        <v>46289</v>
      </c>
      <c r="B5" s="2" t="str">
        <f t="shared" si="0"/>
        <v>Sep</v>
      </c>
      <c r="C5" s="2" t="str">
        <f t="shared" si="1"/>
        <v>Thu</v>
      </c>
      <c r="D5" s="7">
        <v>0.79166666666666663</v>
      </c>
      <c r="E5" s="2">
        <v>1.5</v>
      </c>
      <c r="F5" s="2" t="s">
        <v>28</v>
      </c>
      <c r="G5" s="2" t="s">
        <v>0</v>
      </c>
      <c r="H5" s="2" t="s">
        <v>0</v>
      </c>
      <c r="I5" s="2" t="s">
        <v>29</v>
      </c>
      <c r="J5" s="2" t="s">
        <v>30</v>
      </c>
      <c r="K5" s="2" t="s">
        <v>31</v>
      </c>
      <c r="L5" s="2" t="s">
        <v>31</v>
      </c>
      <c r="M5" s="2" t="s">
        <v>0</v>
      </c>
      <c r="N5" s="2" t="s">
        <v>32</v>
      </c>
      <c r="O5" s="2" t="s">
        <v>33</v>
      </c>
      <c r="P5" s="2" t="s">
        <v>34</v>
      </c>
      <c r="Q5" s="2" t="s">
        <v>35</v>
      </c>
      <c r="R5" s="2" t="s">
        <v>0</v>
      </c>
      <c r="S5" s="2" t="s">
        <v>0</v>
      </c>
      <c r="T5" s="2" t="s">
        <v>0</v>
      </c>
      <c r="U5" s="2" t="s">
        <v>0</v>
      </c>
    </row>
    <row r="6" spans="1:35" x14ac:dyDescent="0.2">
      <c r="A6" s="1">
        <v>46293</v>
      </c>
      <c r="B6" s="2" t="str">
        <f t="shared" si="0"/>
        <v>Sep</v>
      </c>
      <c r="C6" s="2" t="str">
        <f t="shared" si="1"/>
        <v>Mon</v>
      </c>
      <c r="D6" s="7">
        <v>0.41666666666666669</v>
      </c>
      <c r="E6" s="2">
        <v>2</v>
      </c>
      <c r="F6" s="2" t="s">
        <v>36</v>
      </c>
      <c r="G6" s="2" t="s">
        <v>303</v>
      </c>
      <c r="H6" s="2" t="s">
        <v>37</v>
      </c>
      <c r="J6" s="2" t="s">
        <v>30</v>
      </c>
      <c r="K6" s="2" t="s">
        <v>39</v>
      </c>
      <c r="L6" s="2" t="s">
        <v>39</v>
      </c>
      <c r="M6" s="2" t="s">
        <v>0</v>
      </c>
      <c r="N6" s="2" t="s">
        <v>40</v>
      </c>
      <c r="O6" s="2" t="s">
        <v>41</v>
      </c>
      <c r="P6" s="2" t="s">
        <v>42</v>
      </c>
      <c r="Q6" s="2" t="s">
        <v>43</v>
      </c>
      <c r="R6" s="2" t="s">
        <v>44</v>
      </c>
      <c r="S6" s="2" t="s">
        <v>45</v>
      </c>
      <c r="T6" s="2" t="s">
        <v>46</v>
      </c>
      <c r="U6" s="2" t="s">
        <v>47</v>
      </c>
      <c r="V6" s="2" t="s">
        <v>48</v>
      </c>
      <c r="W6" s="2" t="s">
        <v>49</v>
      </c>
      <c r="X6" s="2" t="s">
        <v>50</v>
      </c>
      <c r="Y6" s="2" t="s">
        <v>51</v>
      </c>
      <c r="AB6" s="2" t="s">
        <v>52</v>
      </c>
      <c r="AC6" s="2" t="s">
        <v>53</v>
      </c>
      <c r="AD6" s="2" t="s">
        <v>54</v>
      </c>
      <c r="AE6" s="2" t="s">
        <v>55</v>
      </c>
      <c r="AF6" s="2" t="s">
        <v>56</v>
      </c>
      <c r="AG6" s="2" t="s">
        <v>0</v>
      </c>
      <c r="AH6" s="2" t="s">
        <v>0</v>
      </c>
      <c r="AI6" s="2" t="s">
        <v>0</v>
      </c>
    </row>
    <row r="7" spans="1:35" x14ac:dyDescent="0.2">
      <c r="A7" s="1">
        <v>46294</v>
      </c>
      <c r="B7" s="2" t="str">
        <f t="shared" si="0"/>
        <v>Sep</v>
      </c>
      <c r="C7" s="2" t="str">
        <f t="shared" si="1"/>
        <v>Tue</v>
      </c>
      <c r="D7" s="7">
        <v>0.54166666666666663</v>
      </c>
      <c r="E7" s="2">
        <v>2</v>
      </c>
      <c r="F7" s="2" t="s">
        <v>57</v>
      </c>
      <c r="G7" s="2" t="s">
        <v>58</v>
      </c>
      <c r="H7" s="2" t="s">
        <v>5</v>
      </c>
      <c r="I7" s="2" t="s">
        <v>0</v>
      </c>
      <c r="J7" s="2" t="s">
        <v>59</v>
      </c>
      <c r="K7" s="2" t="s">
        <v>16</v>
      </c>
      <c r="L7" s="2" t="s">
        <v>0</v>
      </c>
      <c r="M7" s="2" t="s">
        <v>0</v>
      </c>
      <c r="N7" s="2" t="s">
        <v>60</v>
      </c>
      <c r="O7" s="2" t="s">
        <v>61</v>
      </c>
      <c r="P7" s="2" t="s">
        <v>62</v>
      </c>
      <c r="Q7" s="2" t="s">
        <v>63</v>
      </c>
      <c r="R7" s="2" t="s">
        <v>64</v>
      </c>
      <c r="S7" s="2" t="s">
        <v>65</v>
      </c>
      <c r="T7" s="2" t="s">
        <v>66</v>
      </c>
      <c r="U7" s="2" t="s">
        <v>20</v>
      </c>
      <c r="V7" s="2" t="s">
        <v>0</v>
      </c>
      <c r="W7" s="2" t="s">
        <v>0</v>
      </c>
      <c r="X7" s="2" t="s">
        <v>0</v>
      </c>
    </row>
    <row r="8" spans="1:35" x14ac:dyDescent="0.2">
      <c r="A8" s="1">
        <v>46295</v>
      </c>
      <c r="B8" s="2" t="str">
        <f t="shared" si="0"/>
        <v>Sep</v>
      </c>
      <c r="C8" s="2" t="str">
        <f t="shared" si="1"/>
        <v>Wed</v>
      </c>
      <c r="D8" s="7">
        <v>0.41666666666666669</v>
      </c>
      <c r="E8" s="2">
        <v>1.5</v>
      </c>
      <c r="F8" s="2" t="s">
        <v>67</v>
      </c>
      <c r="G8" s="2" t="s">
        <v>68</v>
      </c>
      <c r="H8" s="2" t="s">
        <v>69</v>
      </c>
      <c r="I8" s="2" t="s">
        <v>70</v>
      </c>
      <c r="J8" s="2" t="s">
        <v>71</v>
      </c>
      <c r="K8" s="2" t="s">
        <v>72</v>
      </c>
      <c r="L8" s="2" t="s">
        <v>72</v>
      </c>
      <c r="M8" s="2" t="s">
        <v>0</v>
      </c>
      <c r="N8" s="2" t="s">
        <v>73</v>
      </c>
      <c r="O8" s="2" t="s">
        <v>74</v>
      </c>
      <c r="P8" s="2" t="s">
        <v>75</v>
      </c>
      <c r="Q8" s="2" t="s">
        <v>76</v>
      </c>
      <c r="R8" s="2" t="s">
        <v>77</v>
      </c>
      <c r="S8" s="2" t="s">
        <v>78</v>
      </c>
      <c r="T8" s="2" t="s">
        <v>79</v>
      </c>
      <c r="U8" s="2" t="s">
        <v>80</v>
      </c>
      <c r="V8" s="2" t="s">
        <v>0</v>
      </c>
      <c r="W8" s="2" t="s">
        <v>0</v>
      </c>
      <c r="X8" s="2" t="s">
        <v>0</v>
      </c>
    </row>
    <row r="9" spans="1:35" x14ac:dyDescent="0.2">
      <c r="A9" s="1">
        <v>46296</v>
      </c>
      <c r="B9" s="2" t="str">
        <f t="shared" si="0"/>
        <v>Oct</v>
      </c>
      <c r="C9" s="2" t="str">
        <f t="shared" si="1"/>
        <v>Thu</v>
      </c>
      <c r="D9" s="7">
        <v>0.41666666666666669</v>
      </c>
      <c r="E9" s="2">
        <v>2</v>
      </c>
      <c r="F9" s="2" t="s">
        <v>81</v>
      </c>
      <c r="G9" s="2" t="s">
        <v>82</v>
      </c>
      <c r="H9" s="2" t="s">
        <v>38</v>
      </c>
      <c r="I9" s="2" t="s">
        <v>0</v>
      </c>
      <c r="J9" s="2" t="s">
        <v>30</v>
      </c>
      <c r="K9" s="2" t="s">
        <v>7</v>
      </c>
      <c r="L9" s="2" t="s">
        <v>7</v>
      </c>
      <c r="M9" s="2" t="s">
        <v>0</v>
      </c>
      <c r="N9" s="2" t="s">
        <v>83</v>
      </c>
      <c r="O9" s="2" t="s">
        <v>84</v>
      </c>
      <c r="P9" s="2" t="s">
        <v>85</v>
      </c>
      <c r="Q9" s="2" t="s">
        <v>86</v>
      </c>
      <c r="R9" s="2" t="s">
        <v>0</v>
      </c>
      <c r="S9" s="2" t="s">
        <v>0</v>
      </c>
      <c r="T9" s="2" t="s">
        <v>0</v>
      </c>
    </row>
    <row r="10" spans="1:35" x14ac:dyDescent="0.2">
      <c r="A10" s="1">
        <v>46300</v>
      </c>
      <c r="B10" s="2" t="str">
        <f t="shared" si="0"/>
        <v>Oct</v>
      </c>
      <c r="C10" s="2" t="str">
        <f t="shared" si="1"/>
        <v>Mon</v>
      </c>
      <c r="D10" s="7">
        <v>0.41666666666666669</v>
      </c>
      <c r="E10" s="2">
        <v>2</v>
      </c>
      <c r="F10" s="2" t="s">
        <v>87</v>
      </c>
      <c r="G10" s="2" t="s">
        <v>88</v>
      </c>
      <c r="H10" s="2" t="s">
        <v>304</v>
      </c>
      <c r="J10" s="2" t="s">
        <v>30</v>
      </c>
      <c r="K10" s="2" t="s">
        <v>39</v>
      </c>
      <c r="L10" s="2" t="s">
        <v>39</v>
      </c>
      <c r="M10" s="2" t="s">
        <v>0</v>
      </c>
      <c r="N10" s="2" t="s">
        <v>89</v>
      </c>
      <c r="O10" s="2" t="s">
        <v>90</v>
      </c>
      <c r="P10" s="2" t="s">
        <v>91</v>
      </c>
      <c r="Q10" s="2" t="s">
        <v>92</v>
      </c>
      <c r="R10" s="2" t="s">
        <v>93</v>
      </c>
      <c r="S10" s="2" t="s">
        <v>94</v>
      </c>
      <c r="W10" s="2" t="s">
        <v>95</v>
      </c>
      <c r="X10" s="2" t="s">
        <v>96</v>
      </c>
      <c r="Y10" s="2" t="s">
        <v>97</v>
      </c>
      <c r="Z10" s="2" t="s">
        <v>98</v>
      </c>
      <c r="AA10" s="2" t="s">
        <v>99</v>
      </c>
      <c r="AB10" s="2" t="s">
        <v>100</v>
      </c>
      <c r="AC10" s="2" t="s">
        <v>101</v>
      </c>
      <c r="AD10" s="2" t="s">
        <v>102</v>
      </c>
      <c r="AE10" s="2" t="s">
        <v>103</v>
      </c>
      <c r="AF10" s="2" t="s">
        <v>104</v>
      </c>
      <c r="AG10" s="2" t="s">
        <v>0</v>
      </c>
      <c r="AH10" s="2" t="s">
        <v>0</v>
      </c>
      <c r="AI10" s="2" t="s">
        <v>0</v>
      </c>
    </row>
    <row r="11" spans="1:35" x14ac:dyDescent="0.2">
      <c r="A11" s="1">
        <v>46301</v>
      </c>
      <c r="B11" s="2" t="str">
        <f t="shared" si="0"/>
        <v>Oct</v>
      </c>
      <c r="C11" s="2" t="str">
        <f t="shared" si="1"/>
        <v>Tue</v>
      </c>
      <c r="D11" s="7">
        <v>0.41666666666666669</v>
      </c>
      <c r="E11" s="2">
        <v>2</v>
      </c>
      <c r="F11" s="2" t="s">
        <v>105</v>
      </c>
      <c r="G11" s="2" t="s">
        <v>58</v>
      </c>
      <c r="H11" s="2" t="s">
        <v>5</v>
      </c>
      <c r="I11" s="2" t="s">
        <v>0</v>
      </c>
      <c r="J11" s="2" t="s">
        <v>59</v>
      </c>
      <c r="K11" s="2" t="s">
        <v>16</v>
      </c>
      <c r="L11" s="2" t="s">
        <v>0</v>
      </c>
      <c r="M11" s="2" t="s">
        <v>0</v>
      </c>
      <c r="N11" s="2" t="s">
        <v>106</v>
      </c>
      <c r="O11" s="2" t="s">
        <v>107</v>
      </c>
      <c r="P11" s="2" t="s">
        <v>108</v>
      </c>
      <c r="Q11" s="2" t="s">
        <v>109</v>
      </c>
      <c r="R11" s="2" t="s">
        <v>20</v>
      </c>
      <c r="S11" s="2" t="s">
        <v>0</v>
      </c>
      <c r="T11" s="2" t="s">
        <v>0</v>
      </c>
      <c r="U11" s="2" t="s">
        <v>0</v>
      </c>
    </row>
    <row r="12" spans="1:35" x14ac:dyDescent="0.2">
      <c r="A12" s="1">
        <v>46302</v>
      </c>
      <c r="B12" s="2" t="str">
        <f t="shared" si="0"/>
        <v>Oct</v>
      </c>
      <c r="C12" s="2" t="str">
        <f t="shared" si="1"/>
        <v>Wed</v>
      </c>
      <c r="D12" s="7">
        <v>0.41666666666666669</v>
      </c>
      <c r="E12" s="2">
        <v>2</v>
      </c>
      <c r="F12" s="2" t="s">
        <v>110</v>
      </c>
      <c r="G12" s="2" t="s">
        <v>111</v>
      </c>
      <c r="H12" s="2" t="s">
        <v>112</v>
      </c>
      <c r="J12" s="2" t="s">
        <v>23</v>
      </c>
      <c r="K12" s="2" t="s">
        <v>7</v>
      </c>
      <c r="L12" s="2" t="s">
        <v>113</v>
      </c>
      <c r="M12" s="2" t="s">
        <v>0</v>
      </c>
      <c r="N12" s="2" t="s">
        <v>114</v>
      </c>
      <c r="O12" s="2" t="s">
        <v>115</v>
      </c>
      <c r="P12" s="2" t="s">
        <v>116</v>
      </c>
      <c r="Q12" s="2" t="s">
        <v>117</v>
      </c>
      <c r="S12" s="2" t="s">
        <v>0</v>
      </c>
      <c r="T12" s="2" t="s">
        <v>0</v>
      </c>
      <c r="U12" s="2" t="s">
        <v>0</v>
      </c>
    </row>
    <row r="13" spans="1:35" x14ac:dyDescent="0.2">
      <c r="A13" s="1">
        <v>46303</v>
      </c>
      <c r="B13" s="2" t="str">
        <f t="shared" si="0"/>
        <v>Oct</v>
      </c>
      <c r="C13" s="2" t="str">
        <f t="shared" si="1"/>
        <v>Thu</v>
      </c>
      <c r="D13" s="7">
        <v>0.41666666666666669</v>
      </c>
      <c r="E13" s="2">
        <v>2</v>
      </c>
      <c r="F13" s="2" t="s">
        <v>118</v>
      </c>
      <c r="G13" s="2" t="s">
        <v>119</v>
      </c>
      <c r="H13" s="2" t="s">
        <v>38</v>
      </c>
      <c r="I13" s="2" t="s">
        <v>0</v>
      </c>
      <c r="J13" s="2" t="s">
        <v>30</v>
      </c>
      <c r="K13" s="2" t="s">
        <v>7</v>
      </c>
      <c r="L13" s="2" t="s">
        <v>7</v>
      </c>
      <c r="M13" s="2" t="s">
        <v>0</v>
      </c>
      <c r="N13" s="2" t="s">
        <v>120</v>
      </c>
      <c r="O13" s="2" t="s">
        <v>121</v>
      </c>
      <c r="P13" s="2" t="s">
        <v>122</v>
      </c>
      <c r="Q13" s="2" t="s">
        <v>123</v>
      </c>
      <c r="R13" s="2" t="s">
        <v>124</v>
      </c>
      <c r="S13" s="2" t="s">
        <v>125</v>
      </c>
      <c r="T13" s="2" t="s">
        <v>126</v>
      </c>
      <c r="U13" s="2" t="s">
        <v>127</v>
      </c>
      <c r="V13" s="2" t="s">
        <v>0</v>
      </c>
      <c r="W13" s="2" t="s">
        <v>0</v>
      </c>
      <c r="X13" s="2" t="s">
        <v>0</v>
      </c>
    </row>
    <row r="14" spans="1:35" x14ac:dyDescent="0.2">
      <c r="A14" s="1">
        <v>46307</v>
      </c>
      <c r="B14" s="2" t="str">
        <f t="shared" si="0"/>
        <v>Oct</v>
      </c>
      <c r="C14" s="2" t="str">
        <f t="shared" si="1"/>
        <v>Mon</v>
      </c>
      <c r="D14" s="7">
        <v>0.79166666666666663</v>
      </c>
      <c r="E14" s="2">
        <v>1.5</v>
      </c>
      <c r="F14" s="2" t="s">
        <v>128</v>
      </c>
      <c r="G14" s="2" t="s">
        <v>129</v>
      </c>
      <c r="H14" s="2" t="s">
        <v>38</v>
      </c>
      <c r="I14" s="2" t="s">
        <v>0</v>
      </c>
      <c r="J14" s="2" t="s">
        <v>30</v>
      </c>
      <c r="K14" s="2" t="s">
        <v>39</v>
      </c>
      <c r="L14" s="2" t="s">
        <v>39</v>
      </c>
      <c r="M14" s="2" t="s">
        <v>0</v>
      </c>
      <c r="N14" s="2" t="s">
        <v>130</v>
      </c>
      <c r="O14" s="2" t="s">
        <v>131</v>
      </c>
      <c r="P14" s="2" t="s">
        <v>132</v>
      </c>
      <c r="Q14" s="2" t="s">
        <v>133</v>
      </c>
      <c r="R14" s="2" t="s">
        <v>134</v>
      </c>
      <c r="S14" s="2" t="s">
        <v>135</v>
      </c>
      <c r="T14" s="2" t="s">
        <v>136</v>
      </c>
      <c r="U14" s="2" t="s">
        <v>137</v>
      </c>
      <c r="V14" s="2" t="s">
        <v>138</v>
      </c>
      <c r="W14" s="2" t="s">
        <v>139</v>
      </c>
      <c r="X14" s="2" t="s">
        <v>140</v>
      </c>
      <c r="Y14" s="2" t="s">
        <v>141</v>
      </c>
      <c r="Z14" s="2" t="s">
        <v>142</v>
      </c>
      <c r="AA14" s="2" t="s">
        <v>143</v>
      </c>
      <c r="AB14" s="2" t="s">
        <v>144</v>
      </c>
      <c r="AC14" s="2" t="s">
        <v>145</v>
      </c>
      <c r="AD14" s="2" t="s">
        <v>146</v>
      </c>
      <c r="AE14" s="2" t="s">
        <v>147</v>
      </c>
      <c r="AF14" s="2" t="s">
        <v>0</v>
      </c>
      <c r="AG14" s="2" t="s">
        <v>0</v>
      </c>
      <c r="AH14" s="2" t="s">
        <v>0</v>
      </c>
    </row>
    <row r="15" spans="1:35" x14ac:dyDescent="0.2">
      <c r="A15" s="1">
        <v>46308</v>
      </c>
      <c r="B15" s="2" t="str">
        <f t="shared" si="0"/>
        <v>Oct</v>
      </c>
      <c r="C15" s="2" t="str">
        <f t="shared" si="1"/>
        <v>Tue</v>
      </c>
      <c r="D15" s="8">
        <v>0.54166666666666663</v>
      </c>
      <c r="E15" s="2">
        <v>2</v>
      </c>
      <c r="F15" s="2" t="s">
        <v>148</v>
      </c>
      <c r="G15" s="2" t="s">
        <v>58</v>
      </c>
      <c r="H15" s="2" t="s">
        <v>5</v>
      </c>
      <c r="I15" s="2" t="s">
        <v>0</v>
      </c>
      <c r="J15" s="2" t="s">
        <v>149</v>
      </c>
      <c r="K15" s="2" t="s">
        <v>16</v>
      </c>
      <c r="L15" s="2" t="s">
        <v>0</v>
      </c>
      <c r="M15" s="2" t="s">
        <v>0</v>
      </c>
      <c r="N15" s="2" t="s">
        <v>106</v>
      </c>
      <c r="O15" s="2" t="s">
        <v>150</v>
      </c>
      <c r="P15" s="2" t="s">
        <v>151</v>
      </c>
      <c r="Q15" s="2" t="s">
        <v>152</v>
      </c>
      <c r="R15" s="2" t="s">
        <v>153</v>
      </c>
      <c r="S15" s="2" t="s">
        <v>20</v>
      </c>
      <c r="T15" s="2" t="s">
        <v>0</v>
      </c>
      <c r="U15" s="2" t="s">
        <v>0</v>
      </c>
      <c r="V15" s="2" t="s">
        <v>0</v>
      </c>
    </row>
    <row r="16" spans="1:35" x14ac:dyDescent="0.2">
      <c r="A16" s="1">
        <v>46309</v>
      </c>
      <c r="B16" s="2" t="str">
        <f t="shared" si="0"/>
        <v>Oct</v>
      </c>
      <c r="C16" s="2" t="str">
        <f t="shared" si="1"/>
        <v>Wed</v>
      </c>
      <c r="D16" s="7">
        <v>0.41666666666666669</v>
      </c>
      <c r="E16" s="2">
        <v>2</v>
      </c>
      <c r="F16" s="2" t="s">
        <v>154</v>
      </c>
      <c r="G16" s="2" t="s">
        <v>155</v>
      </c>
      <c r="H16" s="2" t="s">
        <v>156</v>
      </c>
      <c r="I16" s="2" t="s">
        <v>5</v>
      </c>
      <c r="J16" s="2" t="s">
        <v>23</v>
      </c>
      <c r="K16" s="2" t="s">
        <v>39</v>
      </c>
      <c r="L16" s="2" t="s">
        <v>0</v>
      </c>
      <c r="M16" s="2" t="s">
        <v>0</v>
      </c>
      <c r="N16" s="2" t="s">
        <v>157</v>
      </c>
      <c r="P16" s="2" t="s">
        <v>0</v>
      </c>
    </row>
    <row r="17" spans="1:28" x14ac:dyDescent="0.2">
      <c r="A17" s="1">
        <v>46310</v>
      </c>
      <c r="B17" s="2" t="str">
        <f t="shared" si="0"/>
        <v>Oct</v>
      </c>
      <c r="C17" s="2" t="str">
        <f t="shared" si="1"/>
        <v>Thu</v>
      </c>
      <c r="D17" s="7">
        <v>0.41666666666666669</v>
      </c>
      <c r="E17" s="2">
        <v>2</v>
      </c>
      <c r="F17" s="2" t="s">
        <v>158</v>
      </c>
      <c r="G17" s="2" t="s">
        <v>82</v>
      </c>
      <c r="H17" s="2" t="s">
        <v>38</v>
      </c>
      <c r="I17" s="2" t="s">
        <v>0</v>
      </c>
      <c r="J17" s="2" t="s">
        <v>30</v>
      </c>
      <c r="K17" s="2" t="s">
        <v>7</v>
      </c>
      <c r="L17" s="2" t="s">
        <v>7</v>
      </c>
      <c r="M17" s="2" t="s">
        <v>0</v>
      </c>
      <c r="N17" s="2" t="s">
        <v>159</v>
      </c>
      <c r="O17" s="2" t="s">
        <v>160</v>
      </c>
      <c r="P17" s="2" t="s">
        <v>84</v>
      </c>
      <c r="Q17" s="2" t="s">
        <v>85</v>
      </c>
      <c r="R17" s="2" t="s">
        <v>86</v>
      </c>
      <c r="S17" s="2" t="s">
        <v>0</v>
      </c>
      <c r="T17" s="2" t="s">
        <v>0</v>
      </c>
      <c r="U17" s="2" t="s">
        <v>0</v>
      </c>
    </row>
    <row r="18" spans="1:28" x14ac:dyDescent="0.2">
      <c r="A18" s="1">
        <v>46314</v>
      </c>
      <c r="B18" s="2" t="str">
        <f t="shared" si="0"/>
        <v>Oct</v>
      </c>
      <c r="C18" s="2" t="str">
        <f t="shared" si="1"/>
        <v>Mon</v>
      </c>
      <c r="D18" s="7">
        <v>0.41666666666666669</v>
      </c>
      <c r="E18" s="2">
        <v>2</v>
      </c>
      <c r="F18" s="2" t="s">
        <v>161</v>
      </c>
      <c r="G18" s="2" t="s">
        <v>162</v>
      </c>
      <c r="H18" s="2" t="s">
        <v>38</v>
      </c>
      <c r="I18" s="2" t="s">
        <v>0</v>
      </c>
      <c r="J18" s="2" t="s">
        <v>30</v>
      </c>
      <c r="K18" s="2" t="s">
        <v>39</v>
      </c>
      <c r="L18" s="2" t="s">
        <v>39</v>
      </c>
      <c r="M18" s="2" t="s">
        <v>0</v>
      </c>
      <c r="N18" s="2" t="s">
        <v>163</v>
      </c>
      <c r="O18" s="2" t="s">
        <v>164</v>
      </c>
      <c r="P18" s="2" t="s">
        <v>165</v>
      </c>
      <c r="Q18" s="2" t="s">
        <v>166</v>
      </c>
      <c r="R18" s="2" t="s">
        <v>167</v>
      </c>
      <c r="S18" s="2" t="s">
        <v>168</v>
      </c>
      <c r="T18" s="2" t="s">
        <v>169</v>
      </c>
      <c r="U18" s="2" t="s">
        <v>170</v>
      </c>
      <c r="V18" s="2" t="s">
        <v>171</v>
      </c>
      <c r="W18" s="2" t="s">
        <v>172</v>
      </c>
      <c r="X18" s="2" t="s">
        <v>173</v>
      </c>
      <c r="Y18" s="2" t="s">
        <v>174</v>
      </c>
      <c r="Z18" s="2" t="s">
        <v>0</v>
      </c>
      <c r="AA18" s="2" t="s">
        <v>0</v>
      </c>
      <c r="AB18" s="2" t="s">
        <v>0</v>
      </c>
    </row>
    <row r="19" spans="1:28" x14ac:dyDescent="0.2">
      <c r="A19" s="1">
        <v>46315</v>
      </c>
      <c r="B19" s="2" t="str">
        <f t="shared" si="0"/>
        <v>Oct</v>
      </c>
      <c r="C19" s="2" t="str">
        <f t="shared" si="1"/>
        <v>Tue</v>
      </c>
      <c r="D19" s="8">
        <v>0.54166666666666663</v>
      </c>
      <c r="E19" s="2">
        <v>2</v>
      </c>
      <c r="F19" s="2" t="s">
        <v>175</v>
      </c>
      <c r="G19" s="2" t="s">
        <v>14</v>
      </c>
      <c r="H19" s="2" t="s">
        <v>5</v>
      </c>
      <c r="I19" s="2" t="s">
        <v>0</v>
      </c>
      <c r="J19" s="2" t="s">
        <v>15</v>
      </c>
      <c r="K19" s="2" t="s">
        <v>16</v>
      </c>
      <c r="L19" s="2" t="s">
        <v>0</v>
      </c>
      <c r="M19" s="2" t="s">
        <v>0</v>
      </c>
      <c r="N19" s="2" t="s">
        <v>176</v>
      </c>
      <c r="O19" s="2" t="s">
        <v>177</v>
      </c>
      <c r="P19" s="2" t="s">
        <v>178</v>
      </c>
      <c r="Q19" s="2" t="s">
        <v>179</v>
      </c>
      <c r="R19" s="2" t="s">
        <v>180</v>
      </c>
      <c r="S19" s="2" t="s">
        <v>20</v>
      </c>
      <c r="T19" s="2" t="s">
        <v>0</v>
      </c>
      <c r="U19" s="2" t="s">
        <v>0</v>
      </c>
      <c r="V19" s="2" t="s">
        <v>0</v>
      </c>
    </row>
    <row r="20" spans="1:28" x14ac:dyDescent="0.2">
      <c r="A20" s="1">
        <v>46316</v>
      </c>
      <c r="B20" s="2" t="str">
        <f t="shared" si="0"/>
        <v>Oct</v>
      </c>
      <c r="C20" s="2" t="str">
        <f t="shared" si="1"/>
        <v>Wed</v>
      </c>
      <c r="D20" s="7">
        <v>0.41666666666666669</v>
      </c>
      <c r="E20" s="2">
        <v>1.5</v>
      </c>
      <c r="F20" s="2" t="s">
        <v>181</v>
      </c>
      <c r="G20" s="2" t="s">
        <v>182</v>
      </c>
      <c r="H20" s="2" t="s">
        <v>5</v>
      </c>
      <c r="I20" s="2" t="s">
        <v>0</v>
      </c>
      <c r="J20" s="2" t="s">
        <v>71</v>
      </c>
      <c r="K20" s="2" t="s">
        <v>183</v>
      </c>
      <c r="L20" s="2" t="s">
        <v>0</v>
      </c>
      <c r="M20" s="2" t="s">
        <v>0</v>
      </c>
      <c r="N20" s="2" t="s">
        <v>184</v>
      </c>
      <c r="O20" s="2" t="s">
        <v>185</v>
      </c>
      <c r="P20" s="2" t="s">
        <v>0</v>
      </c>
      <c r="Q20" s="2" t="s">
        <v>0</v>
      </c>
      <c r="R20" s="2" t="s">
        <v>0</v>
      </c>
    </row>
    <row r="21" spans="1:28" x14ac:dyDescent="0.2">
      <c r="A21" s="1">
        <v>46317</v>
      </c>
      <c r="B21" s="2" t="str">
        <f t="shared" si="0"/>
        <v>Oct</v>
      </c>
      <c r="C21" s="2" t="str">
        <f t="shared" si="1"/>
        <v>Thu</v>
      </c>
      <c r="D21" s="7">
        <v>0.79166666666666663</v>
      </c>
      <c r="E21" s="2">
        <v>2</v>
      </c>
      <c r="F21" s="2" t="s">
        <v>186</v>
      </c>
      <c r="G21" s="2" t="s">
        <v>16</v>
      </c>
      <c r="H21" s="2" t="s">
        <v>38</v>
      </c>
      <c r="I21" s="2" t="s">
        <v>0</v>
      </c>
      <c r="J21" s="2" t="s">
        <v>30</v>
      </c>
      <c r="K21" s="2" t="s">
        <v>0</v>
      </c>
      <c r="L21" s="2" t="s">
        <v>0</v>
      </c>
      <c r="M21" s="2" t="s">
        <v>0</v>
      </c>
      <c r="N21" s="2" t="s">
        <v>187</v>
      </c>
      <c r="O21" s="2" t="s">
        <v>0</v>
      </c>
      <c r="P21" s="2" t="s">
        <v>0</v>
      </c>
      <c r="Q21" s="2" t="s">
        <v>0</v>
      </c>
      <c r="R21" s="2" t="s">
        <v>0</v>
      </c>
    </row>
    <row r="22" spans="1:28" x14ac:dyDescent="0.2">
      <c r="A22" s="1">
        <v>46321</v>
      </c>
      <c r="B22" s="2" t="str">
        <f t="shared" si="0"/>
        <v>Oct</v>
      </c>
      <c r="C22" s="2" t="str">
        <f t="shared" si="1"/>
        <v>Mon</v>
      </c>
      <c r="D22" s="7">
        <v>0.41666666666666669</v>
      </c>
      <c r="E22" s="2">
        <v>1.5</v>
      </c>
      <c r="F22" s="2" t="s">
        <v>188</v>
      </c>
      <c r="G22" s="2" t="s">
        <v>189</v>
      </c>
      <c r="H22" s="2" t="s">
        <v>305</v>
      </c>
      <c r="J22" s="2" t="s">
        <v>38</v>
      </c>
      <c r="K22" s="2" t="s">
        <v>31</v>
      </c>
      <c r="L22" s="2" t="s">
        <v>31</v>
      </c>
      <c r="M22" s="2" t="s">
        <v>0</v>
      </c>
      <c r="N22" s="2" t="s">
        <v>190</v>
      </c>
      <c r="O22" s="2" t="s">
        <v>191</v>
      </c>
      <c r="P22" s="2" t="s">
        <v>192</v>
      </c>
      <c r="Q22" s="2" t="s">
        <v>193</v>
      </c>
      <c r="R22" s="2" t="s">
        <v>185</v>
      </c>
      <c r="U22" s="2" t="s">
        <v>0</v>
      </c>
      <c r="V22" s="2" t="s">
        <v>0</v>
      </c>
      <c r="W22" s="2" t="s">
        <v>0</v>
      </c>
    </row>
    <row r="23" spans="1:28" x14ac:dyDescent="0.2">
      <c r="A23" s="1">
        <v>46322</v>
      </c>
      <c r="B23" s="2" t="str">
        <f t="shared" si="0"/>
        <v>Oct</v>
      </c>
      <c r="C23" s="2" t="str">
        <f t="shared" si="1"/>
        <v>Tue</v>
      </c>
      <c r="D23" s="7">
        <v>0.54166666666666663</v>
      </c>
      <c r="E23" s="2">
        <v>2</v>
      </c>
      <c r="F23" s="2" t="s">
        <v>194</v>
      </c>
      <c r="G23" s="2" t="s">
        <v>0</v>
      </c>
      <c r="H23" s="2" t="s">
        <v>0</v>
      </c>
      <c r="I23" s="2" t="s">
        <v>0</v>
      </c>
      <c r="J23" s="2" t="s">
        <v>15</v>
      </c>
      <c r="K23" s="2" t="s">
        <v>39</v>
      </c>
      <c r="L23" s="2" t="s">
        <v>0</v>
      </c>
      <c r="M23" s="2" t="s">
        <v>0</v>
      </c>
      <c r="N23" s="2" t="s">
        <v>195</v>
      </c>
      <c r="O23" s="2" t="s">
        <v>0</v>
      </c>
      <c r="P23" s="2" t="s">
        <v>0</v>
      </c>
      <c r="Q23" s="2" t="s">
        <v>0</v>
      </c>
      <c r="R23" s="2" t="s">
        <v>0</v>
      </c>
    </row>
    <row r="24" spans="1:28" x14ac:dyDescent="0.2">
      <c r="A24" s="1">
        <v>46323</v>
      </c>
      <c r="B24" s="2" t="str">
        <f t="shared" si="0"/>
        <v>Oct</v>
      </c>
      <c r="C24" s="2" t="str">
        <f t="shared" si="1"/>
        <v>Wed</v>
      </c>
      <c r="D24" s="7">
        <v>0.41666666666666669</v>
      </c>
      <c r="E24" s="2">
        <v>2</v>
      </c>
      <c r="F24" s="2" t="s">
        <v>196</v>
      </c>
      <c r="G24" s="2" t="s">
        <v>197</v>
      </c>
      <c r="H24" s="2" t="s">
        <v>198</v>
      </c>
      <c r="J24" s="2" t="s">
        <v>23</v>
      </c>
      <c r="K24" s="2" t="s">
        <v>199</v>
      </c>
      <c r="L24" s="2" t="s">
        <v>0</v>
      </c>
      <c r="M24" s="2" t="s">
        <v>0</v>
      </c>
      <c r="N24" s="2" t="s">
        <v>200</v>
      </c>
      <c r="O24" s="2" t="s">
        <v>201</v>
      </c>
      <c r="P24" s="2" t="s">
        <v>202</v>
      </c>
      <c r="Q24" s="2" t="s">
        <v>203</v>
      </c>
      <c r="R24" s="2" t="s">
        <v>204</v>
      </c>
      <c r="S24" s="2" t="s">
        <v>205</v>
      </c>
      <c r="T24" s="2" t="s">
        <v>20</v>
      </c>
      <c r="V24" s="2" t="s">
        <v>0</v>
      </c>
      <c r="W24" s="2" t="s">
        <v>0</v>
      </c>
      <c r="X24" s="2" t="s">
        <v>0</v>
      </c>
    </row>
    <row r="25" spans="1:28" x14ac:dyDescent="0.2">
      <c r="A25" s="1">
        <v>46324</v>
      </c>
      <c r="B25" s="2" t="str">
        <f t="shared" si="0"/>
        <v>Oct</v>
      </c>
      <c r="C25" s="2" t="str">
        <f t="shared" si="1"/>
        <v>Thu</v>
      </c>
      <c r="D25" s="7">
        <v>0.41666666666666669</v>
      </c>
      <c r="E25" s="2">
        <v>2</v>
      </c>
      <c r="F25" s="2" t="s">
        <v>206</v>
      </c>
      <c r="G25" s="2" t="s">
        <v>82</v>
      </c>
      <c r="H25" s="2" t="s">
        <v>38</v>
      </c>
      <c r="I25" s="2" t="s">
        <v>0</v>
      </c>
      <c r="J25" s="2" t="s">
        <v>30</v>
      </c>
      <c r="K25" s="2" t="s">
        <v>7</v>
      </c>
      <c r="L25" s="2" t="s">
        <v>7</v>
      </c>
      <c r="M25" s="2" t="s">
        <v>0</v>
      </c>
      <c r="N25" s="2" t="s">
        <v>207</v>
      </c>
      <c r="O25" s="2" t="s">
        <v>208</v>
      </c>
      <c r="P25" s="2" t="s">
        <v>209</v>
      </c>
      <c r="Q25" s="2" t="s">
        <v>84</v>
      </c>
      <c r="R25" s="2" t="s">
        <v>85</v>
      </c>
      <c r="S25" s="2" t="s">
        <v>86</v>
      </c>
      <c r="T25" s="2" t="s">
        <v>0</v>
      </c>
      <c r="U25" s="2" t="s">
        <v>0</v>
      </c>
      <c r="V25" s="2" t="s">
        <v>0</v>
      </c>
    </row>
    <row r="26" spans="1:28" x14ac:dyDescent="0.2">
      <c r="A26" s="1">
        <v>46329</v>
      </c>
      <c r="B26" s="2" t="str">
        <f t="shared" si="0"/>
        <v>Nov</v>
      </c>
      <c r="C26" s="2" t="str">
        <f t="shared" si="1"/>
        <v>Tue</v>
      </c>
      <c r="D26" s="7">
        <v>0.54166666666666663</v>
      </c>
      <c r="E26" s="2">
        <v>1.5</v>
      </c>
      <c r="F26" s="2" t="s">
        <v>299</v>
      </c>
      <c r="G26" s="2" t="s">
        <v>0</v>
      </c>
      <c r="H26" s="2" t="s">
        <v>0</v>
      </c>
      <c r="I26" s="2" t="s">
        <v>0</v>
      </c>
      <c r="J26" s="2" t="s">
        <v>15</v>
      </c>
      <c r="K26" s="2" t="s">
        <v>39</v>
      </c>
      <c r="L26" s="2" t="s">
        <v>0</v>
      </c>
      <c r="M26" s="2" t="s">
        <v>0</v>
      </c>
      <c r="N26" s="2" t="s">
        <v>195</v>
      </c>
      <c r="O26" s="2" t="s">
        <v>0</v>
      </c>
      <c r="P26" s="2" t="s">
        <v>0</v>
      </c>
      <c r="Q26" s="2" t="s">
        <v>0</v>
      </c>
      <c r="R26" s="2" t="s">
        <v>0</v>
      </c>
    </row>
    <row r="27" spans="1:28" x14ac:dyDescent="0.2">
      <c r="A27" s="1">
        <v>46330</v>
      </c>
      <c r="B27" s="2" t="str">
        <f t="shared" si="0"/>
        <v>Nov</v>
      </c>
      <c r="C27" s="2" t="str">
        <f t="shared" si="1"/>
        <v>Wed</v>
      </c>
      <c r="D27" s="7">
        <v>0.41666666666666669</v>
      </c>
      <c r="E27" s="2">
        <v>1.5</v>
      </c>
      <c r="F27" s="2" t="s">
        <v>211</v>
      </c>
      <c r="G27" s="2" t="s">
        <v>212</v>
      </c>
      <c r="H27" s="2" t="s">
        <v>213</v>
      </c>
      <c r="J27" s="2" t="s">
        <v>23</v>
      </c>
      <c r="K27" s="2" t="s">
        <v>7</v>
      </c>
      <c r="L27" s="2" t="s">
        <v>214</v>
      </c>
      <c r="M27" s="2" t="s">
        <v>0</v>
      </c>
      <c r="N27" s="2" t="s">
        <v>215</v>
      </c>
      <c r="P27" s="2" t="s">
        <v>216</v>
      </c>
      <c r="Q27" s="2" t="s">
        <v>217</v>
      </c>
      <c r="R27" s="2" t="s">
        <v>218</v>
      </c>
      <c r="S27" s="2" t="s">
        <v>219</v>
      </c>
      <c r="U27" s="2" t="s">
        <v>0</v>
      </c>
      <c r="V27" s="2" t="s">
        <v>0</v>
      </c>
      <c r="W27" s="2" t="s">
        <v>0</v>
      </c>
    </row>
    <row r="28" spans="1:28" x14ac:dyDescent="0.2">
      <c r="A28" s="1">
        <v>46331</v>
      </c>
      <c r="B28" s="2" t="str">
        <f t="shared" si="0"/>
        <v>Nov</v>
      </c>
      <c r="C28" s="2" t="str">
        <f t="shared" si="1"/>
        <v>Thu</v>
      </c>
      <c r="D28" s="7">
        <v>0.41666666666666669</v>
      </c>
      <c r="E28" s="2">
        <v>2</v>
      </c>
      <c r="F28" s="2" t="s">
        <v>220</v>
      </c>
      <c r="G28" s="2" t="s">
        <v>221</v>
      </c>
      <c r="H28" s="2" t="s">
        <v>38</v>
      </c>
      <c r="I28" s="2" t="s">
        <v>0</v>
      </c>
      <c r="J28" s="2" t="s">
        <v>30</v>
      </c>
      <c r="K28" s="2" t="s">
        <v>7</v>
      </c>
      <c r="L28" s="2" t="s">
        <v>7</v>
      </c>
      <c r="M28" s="2" t="s">
        <v>0</v>
      </c>
      <c r="N28" s="2" t="s">
        <v>222</v>
      </c>
      <c r="O28" s="2" t="s">
        <v>223</v>
      </c>
      <c r="P28" s="2" t="s">
        <v>0</v>
      </c>
    </row>
    <row r="29" spans="1:28" x14ac:dyDescent="0.2">
      <c r="A29" s="1">
        <v>46335</v>
      </c>
      <c r="B29" s="2" t="str">
        <f t="shared" si="0"/>
        <v>Nov</v>
      </c>
      <c r="C29" s="2" t="str">
        <f t="shared" si="1"/>
        <v>Mon</v>
      </c>
      <c r="F29" s="2" t="s">
        <v>300</v>
      </c>
      <c r="G29" s="2" t="s">
        <v>0</v>
      </c>
      <c r="H29" s="2" t="s">
        <v>0</v>
      </c>
      <c r="I29" s="2" t="s">
        <v>0</v>
      </c>
      <c r="J29" s="2" t="s">
        <v>30</v>
      </c>
      <c r="K29" s="2" t="s">
        <v>0</v>
      </c>
      <c r="L29" s="2" t="s">
        <v>210</v>
      </c>
      <c r="M29" s="2" t="s">
        <v>0</v>
      </c>
      <c r="N29" s="2" t="s">
        <v>0</v>
      </c>
      <c r="O29" s="2" t="s">
        <v>0</v>
      </c>
      <c r="P29" s="2" t="s">
        <v>0</v>
      </c>
      <c r="Q29" s="2" t="s">
        <v>0</v>
      </c>
      <c r="R29" s="2" t="s">
        <v>0</v>
      </c>
    </row>
    <row r="30" spans="1:28" x14ac:dyDescent="0.2">
      <c r="A30" s="1">
        <v>46336</v>
      </c>
      <c r="B30" s="2" t="str">
        <f t="shared" si="0"/>
        <v>Nov</v>
      </c>
      <c r="C30" s="2" t="str">
        <f t="shared" si="1"/>
        <v>Tue</v>
      </c>
      <c r="D30" s="7">
        <v>0.54166666666666663</v>
      </c>
      <c r="E30" s="2">
        <v>1</v>
      </c>
      <c r="F30" s="2" t="s">
        <v>224</v>
      </c>
      <c r="G30" s="2" t="s">
        <v>225</v>
      </c>
      <c r="H30" s="2" t="s">
        <v>5</v>
      </c>
      <c r="I30" s="2" t="s">
        <v>226</v>
      </c>
      <c r="J30" s="2" t="s">
        <v>59</v>
      </c>
      <c r="K30" s="2" t="s">
        <v>72</v>
      </c>
      <c r="L30" s="2" t="s">
        <v>72</v>
      </c>
      <c r="M30" s="2" t="s">
        <v>0</v>
      </c>
      <c r="N30" s="2" t="s">
        <v>227</v>
      </c>
      <c r="O30" s="2" t="s">
        <v>228</v>
      </c>
      <c r="P30" s="2" t="s">
        <v>229</v>
      </c>
      <c r="Q30" s="2" t="s">
        <v>230</v>
      </c>
      <c r="R30" s="2" t="s">
        <v>231</v>
      </c>
      <c r="S30" s="2" t="s">
        <v>0</v>
      </c>
      <c r="T30" s="2" t="s">
        <v>232</v>
      </c>
      <c r="U30" s="2" t="s">
        <v>0</v>
      </c>
    </row>
    <row r="31" spans="1:28" x14ac:dyDescent="0.2">
      <c r="A31" s="1">
        <v>46337</v>
      </c>
      <c r="B31" s="2" t="str">
        <f t="shared" si="0"/>
        <v>Nov</v>
      </c>
      <c r="C31" s="2" t="str">
        <f t="shared" si="1"/>
        <v>Wed</v>
      </c>
      <c r="F31" s="2" t="s">
        <v>233</v>
      </c>
      <c r="G31" s="2" t="s">
        <v>0</v>
      </c>
      <c r="H31" s="2" t="s">
        <v>0</v>
      </c>
      <c r="I31" s="2" t="s">
        <v>0</v>
      </c>
      <c r="J31" s="2" t="s">
        <v>0</v>
      </c>
      <c r="K31" s="2" t="s">
        <v>0</v>
      </c>
      <c r="L31" s="2" t="s">
        <v>0</v>
      </c>
      <c r="M31" s="2" t="s">
        <v>0</v>
      </c>
      <c r="N31" s="2" t="s">
        <v>0</v>
      </c>
      <c r="O31" s="2" t="s">
        <v>0</v>
      </c>
      <c r="P31" s="2" t="s">
        <v>0</v>
      </c>
      <c r="Q31" s="2" t="s">
        <v>0</v>
      </c>
      <c r="R31" s="2" t="s">
        <v>0</v>
      </c>
    </row>
    <row r="32" spans="1:28" x14ac:dyDescent="0.2">
      <c r="A32" s="1">
        <v>46338</v>
      </c>
      <c r="B32" s="2" t="str">
        <f t="shared" si="0"/>
        <v>Nov</v>
      </c>
      <c r="C32" s="2" t="str">
        <f t="shared" si="1"/>
        <v>Thu</v>
      </c>
      <c r="D32" s="7">
        <v>0.79166666666666663</v>
      </c>
      <c r="E32" s="2">
        <v>1.5</v>
      </c>
      <c r="F32" s="2" t="s">
        <v>234</v>
      </c>
      <c r="G32" s="2" t="s">
        <v>221</v>
      </c>
      <c r="H32" s="2" t="s">
        <v>38</v>
      </c>
      <c r="I32" s="2" t="s">
        <v>0</v>
      </c>
      <c r="J32" s="2" t="s">
        <v>30</v>
      </c>
      <c r="K32" s="2" t="s">
        <v>7</v>
      </c>
      <c r="L32" s="2" t="s">
        <v>7</v>
      </c>
      <c r="M32" s="2" t="s">
        <v>0</v>
      </c>
      <c r="N32" s="2" t="s">
        <v>235</v>
      </c>
      <c r="O32" s="2" t="s">
        <v>236</v>
      </c>
      <c r="P32" s="2" t="s">
        <v>237</v>
      </c>
      <c r="Q32" s="2" t="s">
        <v>238</v>
      </c>
      <c r="R32" s="2" t="s">
        <v>239</v>
      </c>
      <c r="S32" s="2" t="s">
        <v>240</v>
      </c>
      <c r="T32" s="2" t="s">
        <v>241</v>
      </c>
      <c r="U32" s="2" t="s">
        <v>0</v>
      </c>
      <c r="V32" s="2" t="s">
        <v>0</v>
      </c>
      <c r="W32" s="2" t="s">
        <v>0</v>
      </c>
    </row>
    <row r="33" spans="1:30" x14ac:dyDescent="0.2">
      <c r="A33" s="1">
        <v>46342</v>
      </c>
      <c r="B33" s="2" t="str">
        <f t="shared" si="0"/>
        <v>Nov</v>
      </c>
      <c r="C33" s="2" t="str">
        <f t="shared" si="1"/>
        <v>Mon</v>
      </c>
      <c r="D33" s="7">
        <v>0.41666666666666669</v>
      </c>
      <c r="E33" s="2">
        <v>1</v>
      </c>
      <c r="F33" s="2" t="s">
        <v>242</v>
      </c>
      <c r="G33" s="2" t="s">
        <v>0</v>
      </c>
      <c r="H33" s="2" t="s">
        <v>0</v>
      </c>
      <c r="I33" s="2" t="s">
        <v>29</v>
      </c>
      <c r="J33" s="2" t="s">
        <v>30</v>
      </c>
      <c r="K33" s="2" t="s">
        <v>31</v>
      </c>
      <c r="L33" s="2" t="s">
        <v>31</v>
      </c>
      <c r="M33" s="2" t="s">
        <v>0</v>
      </c>
      <c r="N33" s="2" t="s">
        <v>243</v>
      </c>
      <c r="O33" s="2" t="s">
        <v>244</v>
      </c>
      <c r="P33" s="2" t="s">
        <v>33</v>
      </c>
      <c r="Q33" s="2" t="s">
        <v>34</v>
      </c>
      <c r="R33" s="2" t="s">
        <v>245</v>
      </c>
      <c r="S33" s="2" t="s">
        <v>0</v>
      </c>
      <c r="T33" s="2" t="s">
        <v>0</v>
      </c>
      <c r="U33" s="2" t="s">
        <v>0</v>
      </c>
      <c r="V33" s="2" t="s">
        <v>0</v>
      </c>
    </row>
    <row r="34" spans="1:30" x14ac:dyDescent="0.2">
      <c r="A34" s="1">
        <v>46343</v>
      </c>
      <c r="B34" s="2" t="str">
        <f t="shared" si="0"/>
        <v>Nov</v>
      </c>
      <c r="C34" s="2" t="str">
        <f t="shared" si="1"/>
        <v>Tue</v>
      </c>
      <c r="D34" s="7">
        <v>0.54166666666666663</v>
      </c>
      <c r="E34" s="2">
        <v>2</v>
      </c>
      <c r="F34" s="2" t="s">
        <v>246</v>
      </c>
      <c r="G34" s="2" t="s">
        <v>14</v>
      </c>
      <c r="H34" s="2" t="s">
        <v>5</v>
      </c>
      <c r="I34" s="2" t="s">
        <v>0</v>
      </c>
      <c r="J34" s="2" t="s">
        <v>15</v>
      </c>
      <c r="K34" s="2" t="s">
        <v>16</v>
      </c>
      <c r="L34" s="2" t="s">
        <v>0</v>
      </c>
      <c r="M34" s="2" t="s">
        <v>0</v>
      </c>
      <c r="N34" s="2" t="s">
        <v>247</v>
      </c>
      <c r="O34" s="2" t="s">
        <v>248</v>
      </c>
      <c r="P34" s="2" t="s">
        <v>249</v>
      </c>
      <c r="Q34" s="2" t="s">
        <v>20</v>
      </c>
      <c r="R34" s="2" t="s">
        <v>0</v>
      </c>
      <c r="S34" s="2" t="s">
        <v>0</v>
      </c>
      <c r="T34" s="2" t="s">
        <v>0</v>
      </c>
    </row>
    <row r="35" spans="1:30" x14ac:dyDescent="0.2">
      <c r="A35" s="1">
        <v>46344</v>
      </c>
      <c r="B35" s="2" t="str">
        <f t="shared" si="0"/>
        <v>Nov</v>
      </c>
      <c r="C35" s="2" t="str">
        <f t="shared" si="1"/>
        <v>Wed</v>
      </c>
      <c r="D35" s="7">
        <v>0.41666666666666669</v>
      </c>
      <c r="E35" s="2">
        <v>2</v>
      </c>
      <c r="F35" s="2" t="s">
        <v>250</v>
      </c>
      <c r="G35" s="2" t="s">
        <v>0</v>
      </c>
      <c r="H35" s="2" t="s">
        <v>0</v>
      </c>
      <c r="I35" s="2" t="s">
        <v>0</v>
      </c>
      <c r="J35" s="2" t="s">
        <v>71</v>
      </c>
      <c r="K35" s="2" t="s">
        <v>8</v>
      </c>
      <c r="L35" s="2" t="s">
        <v>0</v>
      </c>
      <c r="M35" s="2" t="s">
        <v>0</v>
      </c>
      <c r="N35" s="2" t="s">
        <v>251</v>
      </c>
      <c r="O35" s="2" t="s">
        <v>252</v>
      </c>
      <c r="P35" s="2" t="s">
        <v>253</v>
      </c>
      <c r="Q35" s="2" t="s">
        <v>254</v>
      </c>
      <c r="R35" s="2" t="s">
        <v>255</v>
      </c>
      <c r="S35" s="2" t="s">
        <v>256</v>
      </c>
      <c r="T35" s="2" t="s">
        <v>257</v>
      </c>
      <c r="U35" s="2" t="s">
        <v>185</v>
      </c>
      <c r="V35" s="2" t="s">
        <v>0</v>
      </c>
      <c r="W35" s="2" t="s">
        <v>0</v>
      </c>
      <c r="X35" s="2" t="s">
        <v>0</v>
      </c>
    </row>
    <row r="36" spans="1:30" x14ac:dyDescent="0.2">
      <c r="A36" s="1">
        <v>46345</v>
      </c>
      <c r="B36" s="2" t="str">
        <f t="shared" si="0"/>
        <v>Nov</v>
      </c>
      <c r="C36" s="2" t="str">
        <f t="shared" si="1"/>
        <v>Thu</v>
      </c>
      <c r="D36" s="7">
        <v>0.41666666666666669</v>
      </c>
      <c r="E36" s="2">
        <v>1.5</v>
      </c>
      <c r="F36" s="2" t="s">
        <v>258</v>
      </c>
      <c r="G36" s="2" t="s">
        <v>259</v>
      </c>
      <c r="H36" s="2" t="s">
        <v>260</v>
      </c>
      <c r="J36" s="2" t="s">
        <v>30</v>
      </c>
      <c r="K36" s="2" t="s">
        <v>7</v>
      </c>
      <c r="L36" s="2" t="s">
        <v>7</v>
      </c>
      <c r="M36" s="2" t="s">
        <v>0</v>
      </c>
      <c r="N36" s="2" t="s">
        <v>261</v>
      </c>
      <c r="O36" s="2" t="s">
        <v>262</v>
      </c>
      <c r="P36" s="2" t="s">
        <v>263</v>
      </c>
      <c r="Q36" s="2" t="s">
        <v>264</v>
      </c>
      <c r="R36" s="2" t="s">
        <v>265</v>
      </c>
      <c r="S36" s="2" t="s">
        <v>266</v>
      </c>
      <c r="T36" s="2" t="s">
        <v>267</v>
      </c>
      <c r="U36" s="2" t="s">
        <v>268</v>
      </c>
      <c r="W36" s="2" t="s">
        <v>269</v>
      </c>
      <c r="X36" s="2" t="s">
        <v>270</v>
      </c>
      <c r="Y36" s="2" t="s">
        <v>271</v>
      </c>
      <c r="Z36" s="2" t="s">
        <v>272</v>
      </c>
      <c r="AA36" s="2" t="s">
        <v>273</v>
      </c>
      <c r="AB36" s="2" t="s">
        <v>0</v>
      </c>
      <c r="AC36" s="2" t="s">
        <v>0</v>
      </c>
      <c r="AD36" s="2" t="s">
        <v>0</v>
      </c>
    </row>
    <row r="37" spans="1:30" x14ac:dyDescent="0.2">
      <c r="A37" s="1">
        <v>46349</v>
      </c>
      <c r="B37" s="2" t="str">
        <f t="shared" si="0"/>
        <v>Nov</v>
      </c>
      <c r="C37" s="2" t="str">
        <f t="shared" si="1"/>
        <v>Mon</v>
      </c>
      <c r="D37" s="7">
        <v>0.41666666666666669</v>
      </c>
      <c r="E37" s="2">
        <v>1.5</v>
      </c>
      <c r="F37" s="2" t="s">
        <v>274</v>
      </c>
      <c r="G37" s="2" t="s">
        <v>275</v>
      </c>
      <c r="H37" s="2" t="s">
        <v>276</v>
      </c>
      <c r="J37" s="2" t="s">
        <v>30</v>
      </c>
      <c r="K37" s="2" t="s">
        <v>7</v>
      </c>
      <c r="L37" s="2" t="s">
        <v>7</v>
      </c>
      <c r="M37" s="2" t="s">
        <v>0</v>
      </c>
      <c r="N37" s="2" t="s">
        <v>277</v>
      </c>
      <c r="O37" s="2" t="s">
        <v>278</v>
      </c>
      <c r="P37" s="2" t="s">
        <v>279</v>
      </c>
      <c r="Q37" s="2" t="s">
        <v>280</v>
      </c>
      <c r="R37" s="2" t="s">
        <v>281</v>
      </c>
      <c r="S37" s="2" t="s">
        <v>282</v>
      </c>
      <c r="T37" s="2" t="s">
        <v>283</v>
      </c>
      <c r="U37" s="2" t="s">
        <v>0</v>
      </c>
      <c r="W37" s="2" t="s">
        <v>0</v>
      </c>
      <c r="X37" s="2" t="s">
        <v>0</v>
      </c>
    </row>
    <row r="38" spans="1:30" x14ac:dyDescent="0.2">
      <c r="A38" s="1">
        <v>46350</v>
      </c>
      <c r="B38" s="2" t="str">
        <f t="shared" si="0"/>
        <v>Nov</v>
      </c>
      <c r="C38" s="2" t="str">
        <f t="shared" si="1"/>
        <v>Tue</v>
      </c>
      <c r="D38" s="7">
        <v>0.54166666666666663</v>
      </c>
      <c r="E38" s="2">
        <v>2</v>
      </c>
      <c r="F38" s="2" t="s">
        <v>284</v>
      </c>
      <c r="G38" s="2" t="s">
        <v>0</v>
      </c>
      <c r="H38" s="2" t="s">
        <v>0</v>
      </c>
      <c r="I38" s="2" t="s">
        <v>0</v>
      </c>
      <c r="J38" s="2" t="s">
        <v>15</v>
      </c>
      <c r="K38" s="2" t="s">
        <v>39</v>
      </c>
      <c r="L38" s="2" t="s">
        <v>0</v>
      </c>
      <c r="M38" s="2" t="s">
        <v>0</v>
      </c>
      <c r="N38" s="2" t="s">
        <v>195</v>
      </c>
      <c r="O38" s="2" t="s">
        <v>0</v>
      </c>
      <c r="P38" s="2" t="s">
        <v>0</v>
      </c>
      <c r="Q38" s="2" t="s">
        <v>0</v>
      </c>
      <c r="R38" s="2" t="s">
        <v>0</v>
      </c>
    </row>
    <row r="39" spans="1:30" x14ac:dyDescent="0.2">
      <c r="A39" s="1">
        <v>46352</v>
      </c>
      <c r="B39" s="2" t="str">
        <f t="shared" si="0"/>
        <v>Nov</v>
      </c>
      <c r="C39" s="2" t="str">
        <f t="shared" si="1"/>
        <v>Thu</v>
      </c>
      <c r="F39" s="2" t="s">
        <v>301</v>
      </c>
      <c r="G39" s="2" t="s">
        <v>0</v>
      </c>
      <c r="H39" s="2" t="s">
        <v>0</v>
      </c>
      <c r="I39" s="2" t="s">
        <v>0</v>
      </c>
      <c r="J39" s="2" t="s">
        <v>0</v>
      </c>
      <c r="K39" s="2" t="s">
        <v>0</v>
      </c>
      <c r="L39" s="2" t="s">
        <v>0</v>
      </c>
      <c r="M39" s="2" t="s">
        <v>0</v>
      </c>
      <c r="N39" s="2" t="s">
        <v>0</v>
      </c>
      <c r="O39" s="2" t="s">
        <v>0</v>
      </c>
      <c r="P39" s="2" t="s">
        <v>0</v>
      </c>
      <c r="Q39" s="2" t="s">
        <v>0</v>
      </c>
      <c r="R39" s="2" t="s">
        <v>0</v>
      </c>
    </row>
    <row r="40" spans="1:30" x14ac:dyDescent="0.2">
      <c r="B40" s="3"/>
    </row>
    <row r="41" spans="1:30" x14ac:dyDescent="0.2">
      <c r="B41"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schedule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Trigoboff</dc:creator>
  <cp:lastModifiedBy>Michael Trigoboff</cp:lastModifiedBy>
  <dcterms:created xsi:type="dcterms:W3CDTF">2026-09-12T01:32:04Z</dcterms:created>
  <dcterms:modified xsi:type="dcterms:W3CDTF">2026-09-13T02:28:43Z</dcterms:modified>
</cp:coreProperties>
</file>